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talog Master" sheetId="1" state="visible" r:id="rId1"/>
    <sheet xmlns:r="http://schemas.openxmlformats.org/officeDocument/2006/relationships" name="Controlled Vocabularies" sheetId="2" state="visible" r:id="rId2"/>
    <sheet xmlns:r="http://schemas.openxmlformats.org/officeDocument/2006/relationships" name="Foundation Live Checklist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Provenance and QA" sheetId="5" state="visible" r:id="rId5"/>
  </sheets>
  <definedNames>
    <definedName name="_xlnm._FilterDatabase" localSheetId="0" hidden="1">'Catalog Master'!$A$1:$AT$334</definedName>
    <definedName name="_xlnm._FilterDatabase" localSheetId="2" hidden="1">'Foundation Live Checklist'!$A$1:$L$334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0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4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2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0" customWidth="1" min="25" max="25"/>
    <col width="42" customWidth="1" min="26" max="26"/>
    <col width="42" customWidth="1" min="27" max="27"/>
    <col width="42" customWidth="1" min="28" max="28"/>
    <col width="16" customWidth="1" min="29" max="29"/>
    <col width="16" customWidth="1" min="30" max="30"/>
    <col width="16" customWidth="1" min="31" max="31"/>
    <col width="20" customWidth="1" min="32" max="32"/>
    <col width="20" customWidth="1" min="33" max="33"/>
    <col width="20" customWidth="1" min="34" max="34"/>
    <col width="16" customWidth="1" min="35" max="35"/>
    <col width="12" customWidth="1" min="36" max="36"/>
    <col width="12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20" customWidth="1" min="44" max="44"/>
    <col width="20" customWidth="1" min="45" max="45"/>
    <col width="42" customWidth="1" min="46" max="46"/>
  </cols>
  <sheetData>
    <row r="1" ht="30" customHeight="1">
      <c r="A1" s="2" t="inlineStr">
        <is>
          <t>Group A — Roster Identity | Stone ID</t>
        </is>
      </c>
      <c r="B1" s="2" t="inlineStr">
        <is>
          <t>Group A — Roster Identity | Canonical Name</t>
        </is>
      </c>
      <c r="C1" s="2" t="inlineStr">
        <is>
          <t>Group A — Roster Identity | Alternate Names</t>
        </is>
      </c>
      <c r="D1" s="2" t="inlineStr">
        <is>
          <t>Group A — Roster Identity | Family</t>
        </is>
      </c>
      <c r="E1" s="2" t="inlineStr">
        <is>
          <t>Group A — Roster Identity | Species</t>
        </is>
      </c>
      <c r="F1" s="2" t="inlineStr">
        <is>
          <t>Group B — Catalog Structure | Collection Tier</t>
        </is>
      </c>
      <c r="G1" s="2" t="inlineStr">
        <is>
          <t>Group B — Catalog Structure | Cohort</t>
        </is>
      </c>
      <c r="H1" s="2" t="inlineStr">
        <is>
          <t>Group B — Catalog Structure | Catalog Display Order</t>
        </is>
      </c>
      <c r="I1" s="2" t="inlineStr">
        <is>
          <t>Group B — Catalog Structure | Navigation Display Order</t>
        </is>
      </c>
      <c r="J1" s="2" t="inlineStr">
        <is>
          <t>Group C — Navigation | Previous Stone</t>
        </is>
      </c>
      <c r="K1" s="2" t="inlineStr">
        <is>
          <t>Group C — Navigation | Previous Slug</t>
        </is>
      </c>
      <c r="L1" s="2" t="inlineStr">
        <is>
          <t>Group C — Navigation | Next Stone</t>
        </is>
      </c>
      <c r="M1" s="2" t="inlineStr">
        <is>
          <t>Group C — Navigation | Next Slug</t>
        </is>
      </c>
      <c r="N1" s="2" t="inlineStr">
        <is>
          <t>Group C — Navigation | Navigation Verified</t>
        </is>
      </c>
      <c r="O1" s="2" t="inlineStr">
        <is>
          <t>Group D — Slug &amp; URL | Slug</t>
        </is>
      </c>
      <c r="P1" s="2" t="inlineStr">
        <is>
          <t>Group E — Production Status | Encyclopedia Production Status</t>
        </is>
      </c>
      <c r="Q1" s="2" t="inlineStr">
        <is>
          <t>Group F — At a Glance | Primary Chakra</t>
        </is>
      </c>
      <c r="R1" s="2" t="inlineStr">
        <is>
          <t>Group F — At a Glance | Secondary Chakra</t>
        </is>
      </c>
      <c r="S1" s="2" t="inlineStr">
        <is>
          <t>Group F — At a Glance | Styling Chakra</t>
        </is>
      </c>
      <c r="T1" s="2" t="inlineStr">
        <is>
          <t>Group F — At a Glance | Element</t>
        </is>
      </c>
      <c r="U1" s="2" t="inlineStr">
        <is>
          <t>Group F — At a Glance | Zodiac</t>
        </is>
      </c>
      <c r="V1" s="2" t="inlineStr">
        <is>
          <t>Group F — At a Glance | Encyclopedia Energetic Role</t>
        </is>
      </c>
      <c r="W1" s="2" t="inlineStr">
        <is>
          <t>Group F — At a Glance | Energetic Role Icon</t>
        </is>
      </c>
      <c r="X1" s="2" t="inlineStr">
        <is>
          <t>Group F — At a Glance | Material Type</t>
        </is>
      </c>
      <c r="Y1" s="2" t="inlineStr">
        <is>
          <t>Group F — At a Glance | Color Energy</t>
        </is>
      </c>
      <c r="Z1" s="2" t="inlineStr">
        <is>
          <t>Group G — Hero Fields | Best For</t>
        </is>
      </c>
      <c r="AA1" s="2" t="inlineStr">
        <is>
          <t>Group G — Hero Fields | Use When</t>
        </is>
      </c>
      <c r="AB1" s="2" t="inlineStr">
        <is>
          <t>Group G — Hero Fields | Affirmation</t>
        </is>
      </c>
      <c r="AC1" s="2" t="inlineStr">
        <is>
          <t>Group H — Legacy Roles | Energetic Role 1</t>
        </is>
      </c>
      <c r="AD1" s="2" t="inlineStr">
        <is>
          <t>Group H — Legacy Roles | Energetic Role 2</t>
        </is>
      </c>
      <c r="AE1" s="2" t="inlineStr">
        <is>
          <t>Group H — Legacy Roles | Energetic Role 3</t>
        </is>
      </c>
      <c r="AF1" s="2" t="inlineStr">
        <is>
          <t>Group I — Card &amp; Image | Card Properties</t>
        </is>
      </c>
      <c r="AG1" s="2" t="inlineStr">
        <is>
          <t>Group I — Card &amp; Image | Image URL</t>
        </is>
      </c>
      <c r="AH1" s="2" t="inlineStr">
        <is>
          <t>Group I — Card &amp; Image | Image Filename</t>
        </is>
      </c>
      <c r="AI1" s="2" t="inlineStr">
        <is>
          <t>Group I — Card &amp; Image | Image Status</t>
        </is>
      </c>
      <c r="AJ1" s="2" t="inlineStr">
        <is>
          <t>Group J — Identity Flags | Exception / Identity Flag</t>
        </is>
      </c>
      <c r="AK1" s="2" t="inlineStr">
        <is>
          <t>Group J — Identity Flags | Exception Review Required</t>
        </is>
      </c>
      <c r="AL1" s="2" t="inlineStr">
        <is>
          <t>Group J — Identity Flags | Structured Data Status</t>
        </is>
      </c>
      <c r="AM1" s="2" t="inlineStr">
        <is>
          <t>Group K — Workflow | Research Status</t>
        </is>
      </c>
      <c r="AN1" s="2" t="inlineStr">
        <is>
          <t>Group K — Workflow | Canonical MD Status</t>
        </is>
      </c>
      <c r="AO1" s="2" t="inlineStr">
        <is>
          <t>Group K — Workflow | Supabase Status</t>
        </is>
      </c>
      <c r="AP1" s="2" t="inlineStr">
        <is>
          <t>Group K — Workflow | Visual QA Status</t>
        </is>
      </c>
      <c r="AQ1" s="2" t="inlineStr">
        <is>
          <t>Group K — Workflow | Editorial Owner</t>
        </is>
      </c>
      <c r="AR1" s="2" t="inlineStr">
        <is>
          <t>Group K — Workflow | Production Data Version</t>
        </is>
      </c>
      <c r="AS1" s="2" t="inlineStr">
        <is>
          <t>Group K — Workflow | Blocker</t>
        </is>
      </c>
      <c r="AT1" s="2" t="inlineStr">
        <is>
          <t>Group K — Workflow | Notes</t>
        </is>
      </c>
    </row>
    <row r="2">
      <c r="A2" t="inlineStr">
        <is>
          <t>C-0119</t>
        </is>
      </c>
      <c r="B2" t="inlineStr">
        <is>
          <t>Amethyst</t>
        </is>
      </c>
      <c r="D2" t="inlineStr">
        <is>
          <t>Quartz</t>
        </is>
      </c>
      <c r="E2" t="inlineStr">
        <is>
          <t>Quartz</t>
        </is>
      </c>
      <c r="F2" t="n">
        <v>1</v>
      </c>
      <c r="G2" t="n">
        <v>1</v>
      </c>
      <c r="H2" t="n">
        <v>119</v>
      </c>
      <c r="I2" t="n">
        <v>119</v>
      </c>
      <c r="J2" t="inlineStr">
        <is>
          <t>Amegreen</t>
        </is>
      </c>
      <c r="K2" t="inlineStr">
        <is>
          <t>amegreen</t>
        </is>
      </c>
      <c r="L2" t="inlineStr">
        <is>
          <t>Ametrine</t>
        </is>
      </c>
      <c r="M2" t="inlineStr">
        <is>
          <t>ametrine</t>
        </is>
      </c>
      <c r="N2" t="b">
        <v>0</v>
      </c>
      <c r="O2" t="inlineStr">
        <is>
          <t>amethyst</t>
        </is>
      </c>
      <c r="P2" t="inlineStr">
        <is>
          <t>Full Entry Live</t>
        </is>
      </c>
      <c r="Q2" t="inlineStr">
        <is>
          <t>Third Eye</t>
        </is>
      </c>
      <c r="R2" t="inlineStr">
        <is>
          <t>Crown</t>
        </is>
      </c>
      <c r="S2" t="inlineStr">
        <is>
          <t>Crown</t>
        </is>
      </c>
      <c r="T2" t="inlineStr">
        <is>
          <t>Air</t>
        </is>
      </c>
      <c r="U2" t="inlineStr">
        <is>
          <t>Aquarius</t>
        </is>
      </c>
      <c r="V2" t="inlineStr">
        <is>
          <t>Spiritual Connection</t>
        </is>
      </c>
      <c r="W2" t="inlineStr">
        <is>
          <t>spiritual-connection</t>
        </is>
      </c>
      <c r="X2" t="inlineStr">
        <is>
          <t>Mineral variety</t>
        </is>
      </c>
      <c r="Y2" t="inlineStr">
        <is>
          <t>Violet Purple</t>
        </is>
      </c>
      <c r="Z2" s="3" t="inlineStr">
        <is>
          <t>Quiet intuition</t>
        </is>
      </c>
      <c r="AA2" s="3" t="inlineStr">
        <is>
          <t>Use when you need to settle your mind and listen beneath the noise.</t>
        </is>
      </c>
      <c r="AB2" s="3" t="inlineStr">
        <is>
          <t>I become still enough to hear what matters.</t>
        </is>
      </c>
      <c r="AC2" t="inlineStr">
        <is>
          <t>Calm &amp; Peace</t>
        </is>
      </c>
      <c r="AD2" t="inlineStr">
        <is>
          <t>Protection</t>
        </is>
      </c>
      <c r="AE2" t="inlineStr">
        <is>
          <t>Spiritual Connection</t>
        </is>
      </c>
      <c r="AF2" t="inlineStr">
        <is>
          <t>["Calm","Intuition","Protection"]</t>
        </is>
      </c>
      <c r="AK2" t="b">
        <v>0</v>
      </c>
      <c r="AL2" t="inlineStr">
        <is>
          <t>Confirmed</t>
        </is>
      </c>
      <c r="AM2" t="inlineStr">
        <is>
          <t>Complete</t>
        </is>
      </c>
      <c r="AN2" t="inlineStr">
        <is>
          <t>Approved</t>
        </is>
      </c>
      <c r="AO2" t="inlineStr">
        <is>
          <t>Complete</t>
        </is>
      </c>
      <c r="AP2" t="inlineStr">
        <is>
          <t>Not Started</t>
        </is>
      </c>
      <c r="AQ2" t="inlineStr">
        <is>
          <t>Lyra</t>
        </is>
      </c>
      <c r="AR2" t="inlineStr">
        <is>
          <t>v0.3-2026-06-30</t>
        </is>
      </c>
      <c r="AT2" s="3" t="inlineStr">
        <is>
          <t>Cohort 1 Gate 1 research complete; canonical MD approved by Christie on 2026-06-30. Image, Supabase, and visual QA remain pending.</t>
        </is>
      </c>
    </row>
    <row r="3">
      <c r="A3" t="inlineStr">
        <is>
          <t>C-0129</t>
        </is>
      </c>
      <c r="B3" t="inlineStr">
        <is>
          <t>Black Tourmaline</t>
        </is>
      </c>
      <c r="C3" t="inlineStr">
        <is>
          <t>Schorl</t>
        </is>
      </c>
      <c r="D3" t="inlineStr">
        <is>
          <t>Tourmaline</t>
        </is>
      </c>
      <c r="E3" t="inlineStr">
        <is>
          <t>Schorl</t>
        </is>
      </c>
      <c r="F3" t="n">
        <v>1</v>
      </c>
      <c r="G3" t="n">
        <v>1</v>
      </c>
      <c r="H3" t="n">
        <v>129</v>
      </c>
      <c r="I3" t="n">
        <v>129</v>
      </c>
      <c r="J3" t="inlineStr">
        <is>
          <t>Black Opal</t>
        </is>
      </c>
      <c r="K3" t="inlineStr">
        <is>
          <t>black-opal</t>
        </is>
      </c>
      <c r="L3" t="inlineStr">
        <is>
          <t>Bloodstone</t>
        </is>
      </c>
      <c r="M3" t="inlineStr">
        <is>
          <t>bloodstone</t>
        </is>
      </c>
      <c r="N3" t="b">
        <v>0</v>
      </c>
      <c r="O3" t="inlineStr">
        <is>
          <t>black-tourmaline</t>
        </is>
      </c>
      <c r="P3" t="inlineStr">
        <is>
          <t>Full Entry Live</t>
        </is>
      </c>
      <c r="Q3" t="inlineStr">
        <is>
          <t>Root</t>
        </is>
      </c>
      <c r="S3" t="inlineStr">
        <is>
          <t>Root</t>
        </is>
      </c>
      <c r="T3" t="inlineStr">
        <is>
          <t>Earth</t>
        </is>
      </c>
      <c r="U3" t="inlineStr">
        <is>
          <t>Capricorn</t>
        </is>
      </c>
      <c r="V3" t="inlineStr">
        <is>
          <t>Protection</t>
        </is>
      </c>
      <c r="W3" t="inlineStr">
        <is>
          <t>protection</t>
        </is>
      </c>
      <c r="X3" t="inlineStr">
        <is>
          <t>Mineral</t>
        </is>
      </c>
      <c r="Y3" t="inlineStr">
        <is>
          <t>Black</t>
        </is>
      </c>
      <c r="Z3" s="3" t="inlineStr">
        <is>
          <t>Energetic boundaries</t>
        </is>
      </c>
      <c r="AA3" s="3" t="inlineStr">
        <is>
          <t>Use when you need to feel anchored, protected, and less affected by the energy around you.</t>
        </is>
      </c>
      <c r="AB3" s="3" t="inlineStr">
        <is>
          <t>I remain grounded, clear, and fully within my own boundaries.</t>
        </is>
      </c>
      <c r="AC3" t="inlineStr">
        <is>
          <t>Protection</t>
        </is>
      </c>
      <c r="AD3" t="inlineStr">
        <is>
          <t>Grounding</t>
        </is>
      </c>
      <c r="AF3" t="inlineStr">
        <is>
          <t>["Protection","Grounding","Boundaries"]</t>
        </is>
      </c>
      <c r="AK3" t="b">
        <v>0</v>
      </c>
      <c r="AL3" t="inlineStr">
        <is>
          <t>Confirmed</t>
        </is>
      </c>
      <c r="AM3" t="inlineStr">
        <is>
          <t>Complete</t>
        </is>
      </c>
      <c r="AN3" t="inlineStr">
        <is>
          <t>Approved</t>
        </is>
      </c>
      <c r="AO3" t="inlineStr">
        <is>
          <t>Complete</t>
        </is>
      </c>
      <c r="AP3" t="inlineStr">
        <is>
          <t>Not Started</t>
        </is>
      </c>
      <c r="AQ3" t="inlineStr">
        <is>
          <t>Lyra</t>
        </is>
      </c>
      <c r="AR3" t="inlineStr">
        <is>
          <t>v0.3-2026-06-30</t>
        </is>
      </c>
      <c r="AT3" s="3" t="inlineStr">
        <is>
          <t>Cohort 1 Gate 1 research complete; canonical MD approved by Christie on 2026-06-30. Image, Supabase, and visual QA remain pending.</t>
        </is>
      </c>
    </row>
    <row r="4">
      <c r="A4" t="inlineStr">
        <is>
          <t>C-0153</t>
        </is>
      </c>
      <c r="B4" t="inlineStr">
        <is>
          <t>Carnelian</t>
        </is>
      </c>
      <c r="D4" t="inlineStr">
        <is>
          <t>Aggregate</t>
        </is>
      </c>
      <c r="E4" t="inlineStr">
        <is>
          <t>Chalcedony</t>
        </is>
      </c>
      <c r="F4" t="n">
        <v>1</v>
      </c>
      <c r="G4" t="n">
        <v>1</v>
      </c>
      <c r="H4" t="n">
        <v>153</v>
      </c>
      <c r="I4" t="n">
        <v>153</v>
      </c>
      <c r="J4" t="inlineStr">
        <is>
          <t>Caribbean Calcite</t>
        </is>
      </c>
      <c r="K4" t="inlineStr">
        <is>
          <t>caribbean-calcite</t>
        </is>
      </c>
      <c r="L4" t="inlineStr">
        <is>
          <t>Cavansite</t>
        </is>
      </c>
      <c r="M4" t="inlineStr">
        <is>
          <t>cavansite</t>
        </is>
      </c>
      <c r="N4" t="b">
        <v>0</v>
      </c>
      <c r="O4" t="inlineStr">
        <is>
          <t>carnelian</t>
        </is>
      </c>
      <c r="P4" t="inlineStr">
        <is>
          <t>Full Entry Live</t>
        </is>
      </c>
      <c r="Q4" t="inlineStr">
        <is>
          <t>Sacral</t>
        </is>
      </c>
      <c r="R4" t="inlineStr">
        <is>
          <t>Solar Plexus</t>
        </is>
      </c>
      <c r="S4" t="inlineStr">
        <is>
          <t>Sacral</t>
        </is>
      </c>
      <c r="T4" t="inlineStr">
        <is>
          <t>Fire</t>
        </is>
      </c>
      <c r="U4" t="inlineStr">
        <is>
          <t>Aries · Leo</t>
        </is>
      </c>
      <c r="V4" t="inlineStr">
        <is>
          <t>Vitality</t>
        </is>
      </c>
      <c r="W4" t="inlineStr">
        <is>
          <t>vitality</t>
        </is>
      </c>
      <c r="X4" t="inlineStr">
        <is>
          <t>Mineral variety</t>
        </is>
      </c>
      <c r="Y4" t="inlineStr">
        <is>
          <t>Orange Red</t>
        </is>
      </c>
      <c r="Z4" s="3" t="inlineStr">
        <is>
          <t>Creative action</t>
        </is>
      </c>
      <c r="AA4" s="3" t="inlineStr">
        <is>
          <t>Use when you feel hesitant, uninspired, or stuck at the edge of beginning.</t>
        </is>
      </c>
      <c r="AB4" s="3" t="inlineStr">
        <is>
          <t>I act with courage, warmth, and creative conviction.</t>
        </is>
      </c>
      <c r="AC4" t="inlineStr">
        <is>
          <t>Vitality</t>
        </is>
      </c>
      <c r="AD4" t="inlineStr">
        <is>
          <t>Confidence</t>
        </is>
      </c>
      <c r="AF4" t="inlineStr">
        <is>
          <t>["Creativity","Confidence","Vitality"]</t>
        </is>
      </c>
      <c r="AK4" t="b">
        <v>0</v>
      </c>
      <c r="AL4" t="inlineStr">
        <is>
          <t>Confirmed</t>
        </is>
      </c>
      <c r="AM4" t="inlineStr">
        <is>
          <t>Complete</t>
        </is>
      </c>
      <c r="AN4" t="inlineStr">
        <is>
          <t>Approved</t>
        </is>
      </c>
      <c r="AO4" t="inlineStr">
        <is>
          <t>Complete</t>
        </is>
      </c>
      <c r="AP4" t="inlineStr">
        <is>
          <t>Not Started</t>
        </is>
      </c>
      <c r="AQ4" t="inlineStr">
        <is>
          <t>Lyra</t>
        </is>
      </c>
      <c r="AR4" t="inlineStr">
        <is>
          <t>v0.3-2026-06-30</t>
        </is>
      </c>
      <c r="AT4" s="3" t="inlineStr">
        <is>
          <t>Cohort 1 Gate 1 research complete; canonical MD approved by Christie on 2026-06-30. Image, Supabase, and visual QA remain pending.</t>
        </is>
      </c>
    </row>
    <row r="5">
      <c r="A5" t="inlineStr">
        <is>
          <t>C-0121</t>
        </is>
      </c>
      <c r="B5" t="inlineStr">
        <is>
          <t>Citrine</t>
        </is>
      </c>
      <c r="D5" t="inlineStr">
        <is>
          <t>Quartz</t>
        </is>
      </c>
      <c r="E5" t="inlineStr">
        <is>
          <t>Quartz</t>
        </is>
      </c>
      <c r="F5" t="n">
        <v>1</v>
      </c>
      <c r="G5" t="n">
        <v>1</v>
      </c>
      <c r="H5" t="n">
        <v>121</v>
      </c>
      <c r="I5" t="n">
        <v>121</v>
      </c>
      <c r="J5" t="inlineStr">
        <is>
          <t>Cinnabrite</t>
        </is>
      </c>
      <c r="K5" t="inlineStr">
        <is>
          <t>cinnabrite</t>
        </is>
      </c>
      <c r="L5" t="inlineStr">
        <is>
          <t>Clear Fluorite</t>
        </is>
      </c>
      <c r="M5" t="inlineStr">
        <is>
          <t>clear-fluorite</t>
        </is>
      </c>
      <c r="N5" t="b">
        <v>0</v>
      </c>
      <c r="O5" t="inlineStr">
        <is>
          <t>citrine</t>
        </is>
      </c>
      <c r="P5" t="inlineStr">
        <is>
          <t>MD Approved</t>
        </is>
      </c>
      <c r="Q5" t="inlineStr">
        <is>
          <t>Solar Plexus</t>
        </is>
      </c>
      <c r="R5" t="inlineStr">
        <is>
          <t>Sacral</t>
        </is>
      </c>
      <c r="S5" t="inlineStr">
        <is>
          <t>Solar Plexus</t>
        </is>
      </c>
      <c r="T5" t="inlineStr">
        <is>
          <t>Fire</t>
        </is>
      </c>
      <c r="U5" t="inlineStr">
        <is>
          <t>Aries · Leo</t>
        </is>
      </c>
      <c r="V5" t="inlineStr">
        <is>
          <t>Manifestation</t>
        </is>
      </c>
      <c r="W5" t="inlineStr">
        <is>
          <t>manifestation</t>
        </is>
      </c>
      <c r="X5" t="inlineStr">
        <is>
          <t>Mineral variety</t>
        </is>
      </c>
      <c r="Y5" t="inlineStr">
        <is>
          <t>Golden Yellow</t>
        </is>
      </c>
      <c r="Z5" s="3" t="inlineStr">
        <is>
          <t>Empowered momentum</t>
        </is>
      </c>
      <c r="AA5" s="3" t="inlineStr">
        <is>
          <t>Use when you need to trust your ability to create, decide, and move forward with confidence.</t>
        </is>
      </c>
      <c r="AB5" s="3" t="inlineStr">
        <is>
          <t>I move toward opportunity with confidence, clarity, and generous purpose.</t>
        </is>
      </c>
      <c r="AC5" t="inlineStr">
        <is>
          <t>Confidence</t>
        </is>
      </c>
      <c r="AD5" t="inlineStr">
        <is>
          <t>Manifestation</t>
        </is>
      </c>
      <c r="AF5" t="inlineStr">
        <is>
          <t>["Abundance","Confidence","Motivation"]</t>
        </is>
      </c>
      <c r="AK5" t="b">
        <v>0</v>
      </c>
      <c r="AL5" t="inlineStr">
        <is>
          <t>Confirmed</t>
        </is>
      </c>
      <c r="AM5" t="inlineStr">
        <is>
          <t>Complete</t>
        </is>
      </c>
      <c r="AN5" t="inlineStr">
        <is>
          <t>Approved</t>
        </is>
      </c>
      <c r="AO5" t="inlineStr">
        <is>
          <t>Not Started</t>
        </is>
      </c>
      <c r="AP5" t="inlineStr">
        <is>
          <t>Not Started</t>
        </is>
      </c>
      <c r="AQ5" t="inlineStr">
        <is>
          <t>Lyra</t>
        </is>
      </c>
      <c r="AR5" t="inlineStr">
        <is>
          <t>v0.3-2026-06-30</t>
        </is>
      </c>
      <c r="AT5" s="3" t="inlineStr">
        <is>
          <t>Cohort 1 Gate 1 research complete; canonical MD approved by Christie on 2026-06-30. Image, Supabase, and visual QA remain pending.</t>
        </is>
      </c>
    </row>
    <row r="6">
      <c r="A6" t="inlineStr">
        <is>
          <t>C-0105</t>
        </is>
      </c>
      <c r="B6" t="inlineStr">
        <is>
          <t>Clear Quartz</t>
        </is>
      </c>
      <c r="D6" t="inlineStr">
        <is>
          <t>Quartz</t>
        </is>
      </c>
      <c r="E6" t="inlineStr">
        <is>
          <t>Quartz</t>
        </is>
      </c>
      <c r="F6" t="n">
        <v>1</v>
      </c>
      <c r="G6" t="n">
        <v>1</v>
      </c>
      <c r="H6" t="n">
        <v>105</v>
      </c>
      <c r="I6" t="n">
        <v>105</v>
      </c>
      <c r="J6" t="inlineStr">
        <is>
          <t>Clear Fluorite</t>
        </is>
      </c>
      <c r="K6" t="inlineStr">
        <is>
          <t>clear-fluorite</t>
        </is>
      </c>
      <c r="L6" t="inlineStr">
        <is>
          <t>Cobaltoan Calcite</t>
        </is>
      </c>
      <c r="M6" t="inlineStr">
        <is>
          <t>cobaltoan-calcite</t>
        </is>
      </c>
      <c r="N6" t="b">
        <v>0</v>
      </c>
      <c r="O6" t="inlineStr">
        <is>
          <t>clear-quartz</t>
        </is>
      </c>
      <c r="P6" t="inlineStr">
        <is>
          <t>Full Entry Live</t>
        </is>
      </c>
      <c r="Q6" t="inlineStr">
        <is>
          <t>All Chakras</t>
        </is>
      </c>
      <c r="S6" t="inlineStr">
        <is>
          <t>Crown</t>
        </is>
      </c>
      <c r="T6" t="inlineStr">
        <is>
          <t>Storm</t>
        </is>
      </c>
      <c r="U6" t="inlineStr">
        <is>
          <t>Aries</t>
        </is>
      </c>
      <c r="V6" t="inlineStr">
        <is>
          <t>Amplification</t>
        </is>
      </c>
      <c r="W6" t="inlineStr">
        <is>
          <t>amplification</t>
        </is>
      </c>
      <c r="X6" t="inlineStr">
        <is>
          <t>Mineral</t>
        </is>
      </c>
      <c r="Y6" t="inlineStr">
        <is>
          <t>Colorless</t>
        </is>
      </c>
      <c r="Z6" s="3" t="inlineStr">
        <is>
          <t>Clear intention</t>
        </is>
      </c>
      <c r="AA6" s="3" t="inlineStr">
        <is>
          <t>Use when you need to clarify your intention and bring scattered energy into alignment.</t>
        </is>
      </c>
      <c r="AB6" s="3" t="inlineStr">
        <is>
          <t>I direct my energy clearly toward what matters most.</t>
        </is>
      </c>
      <c r="AC6" t="inlineStr">
        <is>
          <t>Amplification</t>
        </is>
      </c>
      <c r="AD6" t="inlineStr">
        <is>
          <t>Clarity &amp; Focus</t>
        </is>
      </c>
      <c r="AF6" t="inlineStr">
        <is>
          <t>["Amplification","Clarity","Focus"]</t>
        </is>
      </c>
      <c r="AK6" t="b">
        <v>0</v>
      </c>
      <c r="AL6" t="inlineStr">
        <is>
          <t>Confirmed</t>
        </is>
      </c>
      <c r="AM6" t="inlineStr">
        <is>
          <t>Complete</t>
        </is>
      </c>
      <c r="AN6" t="inlineStr">
        <is>
          <t>Approved</t>
        </is>
      </c>
      <c r="AO6" t="inlineStr">
        <is>
          <t>Complete</t>
        </is>
      </c>
      <c r="AP6" t="inlineStr">
        <is>
          <t>Not Started</t>
        </is>
      </c>
      <c r="AQ6" t="inlineStr">
        <is>
          <t>Lyra</t>
        </is>
      </c>
      <c r="AR6" t="inlineStr">
        <is>
          <t>v0.3-2026-06-30</t>
        </is>
      </c>
      <c r="AT6" s="3" t="inlineStr">
        <is>
          <t>Cohort 1 Gate 1 research complete; canonical MD approved by Christie on 2026-06-30. Image, Supabase, and visual QA remain pending.</t>
        </is>
      </c>
    </row>
    <row r="7">
      <c r="A7" t="inlineStr">
        <is>
          <t>C-0178</t>
        </is>
      </c>
      <c r="B7" t="inlineStr">
        <is>
          <t>Green Aventurine</t>
        </is>
      </c>
      <c r="D7" t="inlineStr">
        <is>
          <t>Aventurine</t>
        </is>
      </c>
      <c r="E7" t="inlineStr">
        <is>
          <t>Aventurine</t>
        </is>
      </c>
      <c r="F7" t="n">
        <v>1</v>
      </c>
      <c r="G7" t="n">
        <v>1</v>
      </c>
      <c r="H7" t="n">
        <v>178</v>
      </c>
      <c r="I7" t="n">
        <v>178</v>
      </c>
      <c r="J7" t="inlineStr">
        <is>
          <t>Green Aragonite</t>
        </is>
      </c>
      <c r="K7" t="inlineStr">
        <is>
          <t>green-aragonite</t>
        </is>
      </c>
      <c r="L7" t="inlineStr">
        <is>
          <t>Green Calcite</t>
        </is>
      </c>
      <c r="M7" t="inlineStr">
        <is>
          <t>green-calcite</t>
        </is>
      </c>
      <c r="N7" t="b">
        <v>0</v>
      </c>
      <c r="O7" t="inlineStr">
        <is>
          <t>green-aventurine</t>
        </is>
      </c>
      <c r="P7" t="inlineStr">
        <is>
          <t>Full Entry Live</t>
        </is>
      </c>
      <c r="Q7" t="inlineStr">
        <is>
          <t>Heart</t>
        </is>
      </c>
      <c r="S7" t="inlineStr">
        <is>
          <t>Heart</t>
        </is>
      </c>
      <c r="T7" t="inlineStr">
        <is>
          <t>Earth</t>
        </is>
      </c>
      <c r="U7" t="inlineStr">
        <is>
          <t>Aries · Taurus</t>
        </is>
      </c>
      <c r="V7" t="inlineStr">
        <is>
          <t>Manifestation</t>
        </is>
      </c>
      <c r="W7" t="inlineStr">
        <is>
          <t>manifestation</t>
        </is>
      </c>
      <c r="X7" t="inlineStr">
        <is>
          <t>Rock</t>
        </is>
      </c>
      <c r="Y7" t="inlineStr">
        <is>
          <t>Green</t>
        </is>
      </c>
      <c r="Z7" s="3" t="inlineStr">
        <is>
          <t>Fresh starts</t>
        </is>
      </c>
      <c r="AA7" s="3" t="inlineStr">
        <is>
          <t>Use when you need encouragement to begin again with a lighter, more hopeful heart.</t>
        </is>
      </c>
      <c r="AB7" s="3" t="inlineStr">
        <is>
          <t>I welcome growth, opportunity, and the courage to begin again.</t>
        </is>
      </c>
      <c r="AC7" t="inlineStr">
        <is>
          <t>Grounding</t>
        </is>
      </c>
      <c r="AD7" t="inlineStr">
        <is>
          <t>Joy</t>
        </is>
      </c>
      <c r="AF7" t="inlineStr">
        <is>
          <t>["Luck","Abundance","Growth"]</t>
        </is>
      </c>
      <c r="AK7" t="b">
        <v>0</v>
      </c>
      <c r="AL7" t="inlineStr">
        <is>
          <t>Confirmed</t>
        </is>
      </c>
      <c r="AM7" t="inlineStr">
        <is>
          <t>Complete</t>
        </is>
      </c>
      <c r="AN7" t="inlineStr">
        <is>
          <t>Approved</t>
        </is>
      </c>
      <c r="AO7" t="inlineStr">
        <is>
          <t>Complete</t>
        </is>
      </c>
      <c r="AP7" t="inlineStr">
        <is>
          <t>Not Started</t>
        </is>
      </c>
      <c r="AQ7" t="inlineStr">
        <is>
          <t>Lyra</t>
        </is>
      </c>
      <c r="AR7" t="inlineStr">
        <is>
          <t>v0.3-2026-06-30</t>
        </is>
      </c>
      <c r="AT7" s="3" t="inlineStr">
        <is>
          <t>Cohort 1 Gate 1 research complete; canonical MD approved by Christie on 2026-06-30. Image, Supabase, and visual QA remain pending.</t>
        </is>
      </c>
    </row>
    <row r="8">
      <c r="A8" t="inlineStr">
        <is>
          <t>C-0028</t>
        </is>
      </c>
      <c r="B8" t="inlineStr">
        <is>
          <t>Labradorite</t>
        </is>
      </c>
      <c r="D8" t="inlineStr">
        <is>
          <t>Feldspar</t>
        </is>
      </c>
      <c r="E8" t="inlineStr">
        <is>
          <t>Plagioclase</t>
        </is>
      </c>
      <c r="F8" t="n">
        <v>1</v>
      </c>
      <c r="G8" t="n">
        <v>2</v>
      </c>
      <c r="H8" t="n">
        <v>28</v>
      </c>
      <c r="I8" t="n">
        <v>28</v>
      </c>
      <c r="J8" t="inlineStr">
        <is>
          <t>Kunzite</t>
        </is>
      </c>
      <c r="K8" t="inlineStr">
        <is>
          <t>kunzite</t>
        </is>
      </c>
      <c r="L8" t="inlineStr">
        <is>
          <t>Laguna Jasper</t>
        </is>
      </c>
      <c r="M8" t="inlineStr">
        <is>
          <t>laguna-jasper</t>
        </is>
      </c>
      <c r="N8" t="b">
        <v>0</v>
      </c>
      <c r="O8" t="inlineStr">
        <is>
          <t>labradorite</t>
        </is>
      </c>
      <c r="P8" t="inlineStr">
        <is>
          <t>Not Started</t>
        </is>
      </c>
      <c r="Q8" t="inlineStr">
        <is>
          <t>Third Eye</t>
        </is>
      </c>
      <c r="S8" t="inlineStr">
        <is>
          <t>Third Eye</t>
        </is>
      </c>
      <c r="T8" t="inlineStr">
        <is>
          <t>Air</t>
        </is>
      </c>
      <c r="V8" t="inlineStr">
        <is>
          <t>Transformation</t>
        </is>
      </c>
      <c r="W8" t="inlineStr">
        <is>
          <t>transformation</t>
        </is>
      </c>
      <c r="X8" t="inlineStr">
        <is>
          <t>Mineral</t>
        </is>
      </c>
      <c r="Z8" s="3" t="inlineStr">
        <is>
          <t>Intuitive protection</t>
        </is>
      </c>
      <c r="AA8" s="3" t="inlineStr">
        <is>
          <t>Use when you need to trust your intuition while staying protected and centered.</t>
        </is>
      </c>
      <c r="AB8" s="3" t="n"/>
      <c r="AC8" t="inlineStr">
        <is>
          <t>Protection</t>
        </is>
      </c>
      <c r="AD8" t="inlineStr">
        <is>
          <t>Intuition</t>
        </is>
      </c>
      <c r="AF8" t="inlineStr">
        <is>
          <t>["Intuition","Protection","Transformation"]</t>
        </is>
      </c>
      <c r="AK8" t="b">
        <v>0</v>
      </c>
      <c r="AL8" t="inlineStr">
        <is>
          <t>SYNTHESIS COMPLETE</t>
        </is>
      </c>
      <c r="AM8" t="inlineStr">
        <is>
          <t>PASS 2 COMPLETE</t>
        </is>
      </c>
      <c r="AN8" t="inlineStr">
        <is>
          <t>SYNTHESIS COMPLETE</t>
        </is>
      </c>
      <c r="AO8" t="inlineStr">
        <is>
          <t>Not Started</t>
        </is>
      </c>
      <c r="AP8" t="inlineStr">
        <is>
          <t>Not Started</t>
        </is>
      </c>
      <c r="AR8" t="inlineStr">
        <is>
          <t>v0.3-2026-06-29</t>
        </is>
      </c>
      <c r="AT8" s="3" t="n"/>
    </row>
    <row r="9">
      <c r="A9" t="inlineStr">
        <is>
          <t>C-0108</t>
        </is>
      </c>
      <c r="B9" t="inlineStr">
        <is>
          <t>Rose Quartz</t>
        </is>
      </c>
      <c r="D9" t="inlineStr">
        <is>
          <t>Quartz</t>
        </is>
      </c>
      <c r="E9" t="inlineStr">
        <is>
          <t>Quartz</t>
        </is>
      </c>
      <c r="F9" t="n">
        <v>1</v>
      </c>
      <c r="G9" t="n">
        <v>3</v>
      </c>
      <c r="H9" t="n">
        <v>108</v>
      </c>
      <c r="I9" t="n">
        <v>108</v>
      </c>
      <c r="J9" t="inlineStr">
        <is>
          <t>Rhyolite</t>
        </is>
      </c>
      <c r="K9" t="inlineStr">
        <is>
          <t>rhyolite</t>
        </is>
      </c>
      <c r="L9" t="inlineStr">
        <is>
          <t>Ruby</t>
        </is>
      </c>
      <c r="M9" t="inlineStr">
        <is>
          <t>ruby</t>
        </is>
      </c>
      <c r="N9" t="b">
        <v>0</v>
      </c>
      <c r="O9" t="inlineStr">
        <is>
          <t>rose-quartz</t>
        </is>
      </c>
      <c r="P9" t="inlineStr">
        <is>
          <t>Full Entry Live</t>
        </is>
      </c>
      <c r="Q9" t="inlineStr">
        <is>
          <t>Heart</t>
        </is>
      </c>
      <c r="S9" t="inlineStr">
        <is>
          <t>Heart</t>
        </is>
      </c>
      <c r="X9" t="inlineStr">
        <is>
          <t>Mineral</t>
        </is>
      </c>
      <c r="Z9" s="3" t="inlineStr">
        <is>
          <t>Self-compassion</t>
        </is>
      </c>
      <c r="AA9" s="3" t="inlineStr">
        <is>
          <t>Use when you need to soften self-criticism and return to a more compassionate center.</t>
        </is>
      </c>
      <c r="AB9" s="3" t="n"/>
      <c r="AC9" t="inlineStr">
        <is>
          <t>Self-Love</t>
        </is>
      </c>
      <c r="AD9" t="inlineStr">
        <is>
          <t>Heart Healing</t>
        </is>
      </c>
      <c r="AF9" t="inlineStr">
        <is>
          <t>["Love","Compassion","Healing"]</t>
        </is>
      </c>
      <c r="AK9" t="b">
        <v>0</v>
      </c>
      <c r="AL9" t="inlineStr">
        <is>
          <t>Unreviewed</t>
        </is>
      </c>
      <c r="AM9" t="inlineStr">
        <is>
          <t>Complete</t>
        </is>
      </c>
      <c r="AN9" t="inlineStr">
        <is>
          <t>Approved</t>
        </is>
      </c>
      <c r="AO9" t="inlineStr">
        <is>
          <t>Complete</t>
        </is>
      </c>
      <c r="AP9" t="inlineStr">
        <is>
          <t>Not Started</t>
        </is>
      </c>
      <c r="AR9" t="inlineStr">
        <is>
          <t>v0.3-2026-06-29</t>
        </is>
      </c>
      <c r="AT9" s="3" t="n"/>
    </row>
    <row r="10">
      <c r="A10" t="inlineStr">
        <is>
          <t>C-0175</t>
        </is>
      </c>
      <c r="B10" t="inlineStr">
        <is>
          <t>Selenite</t>
        </is>
      </c>
      <c r="C10" t="inlineStr">
        <is>
          <t>Satin Spar Gypsum</t>
        </is>
      </c>
      <c r="D10" t="inlineStr">
        <is>
          <t>Gypsum</t>
        </is>
      </c>
      <c r="E10" t="inlineStr">
        <is>
          <t>Gypsum</t>
        </is>
      </c>
      <c r="F10" t="n">
        <v>1</v>
      </c>
      <c r="G10" t="n">
        <v>3</v>
      </c>
      <c r="H10" t="n">
        <v>175</v>
      </c>
      <c r="I10" t="n">
        <v>175</v>
      </c>
      <c r="J10" t="inlineStr">
        <is>
          <t>Scolecite</t>
        </is>
      </c>
      <c r="K10" t="inlineStr">
        <is>
          <t>scolecite</t>
        </is>
      </c>
      <c r="L10" t="inlineStr">
        <is>
          <t>Septarian</t>
        </is>
      </c>
      <c r="M10" t="inlineStr">
        <is>
          <t>septarian</t>
        </is>
      </c>
      <c r="N10" t="b">
        <v>0</v>
      </c>
      <c r="O10" t="inlineStr">
        <is>
          <t>selenite</t>
        </is>
      </c>
      <c r="P10" t="inlineStr">
        <is>
          <t>Full Entry Live</t>
        </is>
      </c>
      <c r="Q10" t="inlineStr">
        <is>
          <t>Crown</t>
        </is>
      </c>
      <c r="R10" t="inlineStr">
        <is>
          <t>Third Eye</t>
        </is>
      </c>
      <c r="S10" t="inlineStr">
        <is>
          <t>Crown</t>
        </is>
      </c>
      <c r="X10" t="inlineStr">
        <is>
          <t>Mineral</t>
        </is>
      </c>
      <c r="Z10" s="3" t="inlineStr">
        <is>
          <t>Energetic clearing</t>
        </is>
      </c>
      <c r="AA10" s="3" t="inlineStr">
        <is>
          <t>Use when you need to clear stagnant energy and bring a room or ritual back to stillness.</t>
        </is>
      </c>
      <c r="AB10" s="3" t="n"/>
      <c r="AC10" t="inlineStr">
        <is>
          <t>Clarity &amp; Focus</t>
        </is>
      </c>
      <c r="AD10" t="inlineStr">
        <is>
          <t>Spiritual Connection</t>
        </is>
      </c>
      <c r="AF10" t="inlineStr">
        <is>
          <t>["Purification","Clarity","Peace"]</t>
        </is>
      </c>
      <c r="AK10" t="b">
        <v>0</v>
      </c>
      <c r="AL10" t="inlineStr">
        <is>
          <t>Unreviewed</t>
        </is>
      </c>
      <c r="AM10" t="inlineStr">
        <is>
          <t>Complete</t>
        </is>
      </c>
      <c r="AN10" t="inlineStr">
        <is>
          <t>Approved</t>
        </is>
      </c>
      <c r="AO10" t="inlineStr">
        <is>
          <t>Complete</t>
        </is>
      </c>
      <c r="AP10" t="inlineStr">
        <is>
          <t>Not Started</t>
        </is>
      </c>
      <c r="AR10" t="inlineStr">
        <is>
          <t>v0.3-2026-06-29</t>
        </is>
      </c>
      <c r="AT10" s="3" t="n"/>
    </row>
    <row r="11">
      <c r="A11" t="inlineStr">
        <is>
          <t>C-0103</t>
        </is>
      </c>
      <c r="B11" t="inlineStr">
        <is>
          <t>Smoky Quartz</t>
        </is>
      </c>
      <c r="D11" t="inlineStr">
        <is>
          <t>Quartz</t>
        </is>
      </c>
      <c r="E11" t="inlineStr">
        <is>
          <t>Quartz</t>
        </is>
      </c>
      <c r="F11" t="n">
        <v>1</v>
      </c>
      <c r="G11" t="n">
        <v>3</v>
      </c>
      <c r="H11" t="n">
        <v>103</v>
      </c>
      <c r="I11" t="n">
        <v>103</v>
      </c>
      <c r="J11" t="inlineStr">
        <is>
          <t>Smoky Citrine</t>
        </is>
      </c>
      <c r="K11" t="inlineStr">
        <is>
          <t>smoky-citrine</t>
        </is>
      </c>
      <c r="L11" t="inlineStr">
        <is>
          <t>Snowflake Obsidian</t>
        </is>
      </c>
      <c r="M11" t="inlineStr">
        <is>
          <t>snowflake-obsidian</t>
        </is>
      </c>
      <c r="N11" t="b">
        <v>0</v>
      </c>
      <c r="O11" t="inlineStr">
        <is>
          <t>smoky-quartz</t>
        </is>
      </c>
      <c r="P11" t="inlineStr">
        <is>
          <t>Full Entry Live</t>
        </is>
      </c>
      <c r="Q11" t="inlineStr">
        <is>
          <t>Root</t>
        </is>
      </c>
      <c r="S11" t="inlineStr">
        <is>
          <t>Root</t>
        </is>
      </c>
      <c r="X11" t="inlineStr">
        <is>
          <t>Mineral</t>
        </is>
      </c>
      <c r="Z11" s="3" t="inlineStr">
        <is>
          <t>Letting go</t>
        </is>
      </c>
      <c r="AA11" s="3" t="inlineStr">
        <is>
          <t>Use when you need to let go of heaviness and come back into your body.</t>
        </is>
      </c>
      <c r="AB11" s="3" t="n"/>
      <c r="AC11" t="inlineStr">
        <is>
          <t>Grounding</t>
        </is>
      </c>
      <c r="AD11" t="inlineStr">
        <is>
          <t>Protection</t>
        </is>
      </c>
      <c r="AF11" t="inlineStr">
        <is>
          <t>["Grounding","Protection","Calm"]</t>
        </is>
      </c>
      <c r="AK11" t="b">
        <v>0</v>
      </c>
      <c r="AL11" t="inlineStr">
        <is>
          <t>Unreviewed</t>
        </is>
      </c>
      <c r="AM11" t="inlineStr">
        <is>
          <t>Complete</t>
        </is>
      </c>
      <c r="AN11" t="inlineStr">
        <is>
          <t>Approved</t>
        </is>
      </c>
      <c r="AO11" t="inlineStr">
        <is>
          <t>Complete</t>
        </is>
      </c>
      <c r="AP11" t="inlineStr">
        <is>
          <t>Not Started</t>
        </is>
      </c>
      <c r="AR11" t="inlineStr">
        <is>
          <t>v0.3-2026-06-29</t>
        </is>
      </c>
      <c r="AT11" s="3" t="n"/>
    </row>
    <row r="12">
      <c r="A12" t="inlineStr">
        <is>
          <t>C-0139</t>
        </is>
      </c>
      <c r="B12" t="inlineStr">
        <is>
          <t>Black Obsidian</t>
        </is>
      </c>
      <c r="C12" t="inlineStr">
        <is>
          <t>Obsidian</t>
        </is>
      </c>
      <c r="D12" t="inlineStr">
        <is>
          <t>Obsidian</t>
        </is>
      </c>
      <c r="E12" t="inlineStr">
        <is>
          <t>Obsidian</t>
        </is>
      </c>
      <c r="F12" t="n">
        <v>1</v>
      </c>
      <c r="G12" t="n">
        <v>1</v>
      </c>
      <c r="H12" t="n">
        <v>139</v>
      </c>
      <c r="I12" t="n">
        <v>139</v>
      </c>
      <c r="J12" t="inlineStr">
        <is>
          <t>Black Moonstone</t>
        </is>
      </c>
      <c r="K12" t="inlineStr">
        <is>
          <t>black-moonstone</t>
        </is>
      </c>
      <c r="L12" t="inlineStr">
        <is>
          <t>Black Opal</t>
        </is>
      </c>
      <c r="M12" t="inlineStr">
        <is>
          <t>black-opal</t>
        </is>
      </c>
      <c r="N12" t="b">
        <v>0</v>
      </c>
      <c r="O12" t="inlineStr">
        <is>
          <t>black-obsidian</t>
        </is>
      </c>
      <c r="P12" t="inlineStr">
        <is>
          <t>MD Approved</t>
        </is>
      </c>
      <c r="Q12" t="inlineStr">
        <is>
          <t>Root</t>
        </is>
      </c>
      <c r="S12" t="inlineStr">
        <is>
          <t>Root</t>
        </is>
      </c>
      <c r="T12" t="inlineStr">
        <is>
          <t>Earth</t>
        </is>
      </c>
      <c r="U12" t="inlineStr">
        <is>
          <t>Scorpio · Capricorn</t>
        </is>
      </c>
      <c r="V12" t="inlineStr">
        <is>
          <t>Protection</t>
        </is>
      </c>
      <c r="W12" t="inlineStr">
        <is>
          <t>protection</t>
        </is>
      </c>
      <c r="X12" t="inlineStr">
        <is>
          <t>Mineraloid</t>
        </is>
      </c>
      <c r="Y12" t="inlineStr">
        <is>
          <t>Black</t>
        </is>
      </c>
      <c r="Z12" s="3" t="inlineStr">
        <is>
          <t>Honest release</t>
        </is>
      </c>
      <c r="AA12" s="3" t="inlineStr">
        <is>
          <t>Use when you are ready to face an uncomfortable truth instead of continuing to avoid it.</t>
        </is>
      </c>
      <c r="AB12" s="3" t="inlineStr">
        <is>
          <t>I face what is true and release what no longer belongs.</t>
        </is>
      </c>
      <c r="AC12" t="inlineStr">
        <is>
          <t>Protection</t>
        </is>
      </c>
      <c r="AD12" t="inlineStr">
        <is>
          <t>Clarity &amp; Focus</t>
        </is>
      </c>
      <c r="AF12" t="inlineStr">
        <is>
          <t>["Protection","Grounding","Truth"]</t>
        </is>
      </c>
      <c r="AK12" t="b">
        <v>0</v>
      </c>
      <c r="AL12" t="inlineStr">
        <is>
          <t>Confirmed</t>
        </is>
      </c>
      <c r="AM12" t="inlineStr">
        <is>
          <t>Complete</t>
        </is>
      </c>
      <c r="AN12" t="inlineStr">
        <is>
          <t>Approved</t>
        </is>
      </c>
      <c r="AO12" t="inlineStr">
        <is>
          <t>Not Started</t>
        </is>
      </c>
      <c r="AP12" t="inlineStr">
        <is>
          <t>Not Started</t>
        </is>
      </c>
      <c r="AQ12" t="inlineStr">
        <is>
          <t>Lyra</t>
        </is>
      </c>
      <c r="AR12" t="inlineStr">
        <is>
          <t>v0.3-2026-06-30</t>
        </is>
      </c>
      <c r="AT12" s="3" t="inlineStr">
        <is>
          <t>Cohort 1 Gate 1 research complete; canonical MD approved by Christie on 2026-06-30. Image, Supabase, and visual QA remain pending.</t>
        </is>
      </c>
    </row>
    <row r="13">
      <c r="A13" t="inlineStr">
        <is>
          <t>C-0041</t>
        </is>
      </c>
      <c r="B13" t="inlineStr">
        <is>
          <t>Hematite</t>
        </is>
      </c>
      <c r="C13" t="inlineStr">
        <is>
          <t>Specular Hematite</t>
        </is>
      </c>
      <c r="D13" t="inlineStr">
        <is>
          <t>Iron Minerals</t>
        </is>
      </c>
      <c r="E13" t="inlineStr">
        <is>
          <t>Hematite</t>
        </is>
      </c>
      <c r="F13" t="n">
        <v>1</v>
      </c>
      <c r="G13" t="n">
        <v>2</v>
      </c>
      <c r="H13" t="n">
        <v>41</v>
      </c>
      <c r="I13" t="n">
        <v>41</v>
      </c>
      <c r="J13" t="inlineStr">
        <is>
          <t>Heliodor</t>
        </is>
      </c>
      <c r="K13" t="inlineStr">
        <is>
          <t>heliodor</t>
        </is>
      </c>
      <c r="L13" t="inlineStr">
        <is>
          <t>Hematoid Quartz</t>
        </is>
      </c>
      <c r="M13" t="inlineStr">
        <is>
          <t>hematoid-quartz</t>
        </is>
      </c>
      <c r="N13" t="b">
        <v>0</v>
      </c>
      <c r="O13" t="inlineStr">
        <is>
          <t>hematite</t>
        </is>
      </c>
      <c r="P13" t="inlineStr">
        <is>
          <t>Full Entry Live</t>
        </is>
      </c>
      <c r="Q13" t="inlineStr">
        <is>
          <t>Root</t>
        </is>
      </c>
      <c r="S13" t="inlineStr">
        <is>
          <t>Root</t>
        </is>
      </c>
      <c r="X13" t="inlineStr">
        <is>
          <t>Mineral</t>
        </is>
      </c>
      <c r="Z13" s="3" t="inlineStr">
        <is>
          <t>Practical steadiness</t>
        </is>
      </c>
      <c r="AA13" s="3" t="inlineStr">
        <is>
          <t>Use when you feel scattered, unsteady, or disconnected from the task directly in front of you.</t>
        </is>
      </c>
      <c r="AB13" s="3" t="n"/>
      <c r="AC13" t="inlineStr">
        <is>
          <t>Grounding</t>
        </is>
      </c>
      <c r="AD13" t="inlineStr">
        <is>
          <t>Confidence</t>
        </is>
      </c>
      <c r="AF13" t="inlineStr">
        <is>
          <t>["Grounding","Embodiment","Stability"]</t>
        </is>
      </c>
      <c r="AK13" t="b">
        <v>0</v>
      </c>
      <c r="AL13" t="inlineStr">
        <is>
          <t>Unreviewed</t>
        </is>
      </c>
      <c r="AM13" t="inlineStr">
        <is>
          <t>Complete</t>
        </is>
      </c>
      <c r="AN13" t="inlineStr">
        <is>
          <t>Approved</t>
        </is>
      </c>
      <c r="AO13" t="inlineStr">
        <is>
          <t>Complete</t>
        </is>
      </c>
      <c r="AP13" t="inlineStr">
        <is>
          <t>Not Started</t>
        </is>
      </c>
      <c r="AR13" t="inlineStr">
        <is>
          <t>v0.3-2026-06-29</t>
        </is>
      </c>
      <c r="AT13" s="3" t="n"/>
    </row>
    <row r="14">
      <c r="A14" t="inlineStr">
        <is>
          <t>C-0188</t>
        </is>
      </c>
      <c r="B14" t="inlineStr">
        <is>
          <t>Lapis Lazuli</t>
        </is>
      </c>
      <c r="D14" t="inlineStr">
        <is>
          <t>Aggregate</t>
        </is>
      </c>
      <c r="E14" t="inlineStr">
        <is>
          <t>Lazurite; Calcite; Pyrite</t>
        </is>
      </c>
      <c r="F14" t="n">
        <v>1</v>
      </c>
      <c r="G14" t="n">
        <v>2</v>
      </c>
      <c r="H14" t="n">
        <v>188</v>
      </c>
      <c r="I14" t="n">
        <v>188</v>
      </c>
      <c r="J14" t="inlineStr">
        <is>
          <t>Laguna Jasper</t>
        </is>
      </c>
      <c r="K14" t="inlineStr">
        <is>
          <t>laguna-jasper</t>
        </is>
      </c>
      <c r="L14" t="inlineStr">
        <is>
          <t>Larimar</t>
        </is>
      </c>
      <c r="M14" t="inlineStr">
        <is>
          <t>larimar</t>
        </is>
      </c>
      <c r="N14" t="b">
        <v>0</v>
      </c>
      <c r="O14" t="inlineStr">
        <is>
          <t>lapis-lazuli</t>
        </is>
      </c>
      <c r="P14" t="inlineStr">
        <is>
          <t>Not Started</t>
        </is>
      </c>
      <c r="Q14" t="inlineStr">
        <is>
          <t>Third Eye</t>
        </is>
      </c>
      <c r="R14" t="inlineStr">
        <is>
          <t>Throat</t>
        </is>
      </c>
      <c r="S14" t="inlineStr">
        <is>
          <t>Third Eye</t>
        </is>
      </c>
      <c r="T14" t="inlineStr">
        <is>
          <t>Water</t>
        </is>
      </c>
      <c r="V14" t="inlineStr">
        <is>
          <t>Intuition</t>
        </is>
      </c>
      <c r="W14" t="inlineStr">
        <is>
          <t>intuition</t>
        </is>
      </c>
      <c r="X14" t="inlineStr">
        <is>
          <t>Rock</t>
        </is>
      </c>
      <c r="Z14" s="3" t="inlineStr">
        <is>
          <t>Authentic expression</t>
        </is>
      </c>
      <c r="AA14" s="3" t="inlineStr">
        <is>
          <t>Use when you need to understand what you truly think before explaining it to someone else.</t>
        </is>
      </c>
      <c r="AB14" s="3" t="n"/>
      <c r="AC14" t="inlineStr">
        <is>
          <t>Clarity &amp; Focus</t>
        </is>
      </c>
      <c r="AD14" t="inlineStr">
        <is>
          <t>Communication</t>
        </is>
      </c>
      <c r="AE14" t="inlineStr">
        <is>
          <t>Intuition</t>
        </is>
      </c>
      <c r="AF14" t="inlineStr">
        <is>
          <t>["Wisdom","Truth","Communication"]</t>
        </is>
      </c>
      <c r="AK14" t="b">
        <v>0</v>
      </c>
      <c r="AL14" t="inlineStr">
        <is>
          <t>SYNTHESIS COMPLETE</t>
        </is>
      </c>
      <c r="AM14" t="inlineStr">
        <is>
          <t>PASS 2 COMPLETE</t>
        </is>
      </c>
      <c r="AN14" t="inlineStr">
        <is>
          <t>SYNTHESIS COMPLETE</t>
        </is>
      </c>
      <c r="AO14" t="inlineStr">
        <is>
          <t>Not Started</t>
        </is>
      </c>
      <c r="AP14" t="inlineStr">
        <is>
          <t>Not Started</t>
        </is>
      </c>
      <c r="AR14" t="inlineStr">
        <is>
          <t>v0.3-2026-06-29</t>
        </is>
      </c>
      <c r="AT14" s="3" t="n"/>
    </row>
    <row r="15">
      <c r="A15" t="inlineStr">
        <is>
          <t>C-0254</t>
        </is>
      </c>
      <c r="B15" t="inlineStr">
        <is>
          <t>Lepidolite</t>
        </is>
      </c>
      <c r="D15" t="inlineStr">
        <is>
          <t>Silicates</t>
        </is>
      </c>
      <c r="E15" t="inlineStr">
        <is>
          <t>Lepidolite</t>
        </is>
      </c>
      <c r="F15" t="n">
        <v>1</v>
      </c>
      <c r="G15" t="n">
        <v>2</v>
      </c>
      <c r="H15" t="n">
        <v>254</v>
      </c>
      <c r="I15" t="n">
        <v>254</v>
      </c>
      <c r="J15" t="inlineStr">
        <is>
          <t>Lepidocrocite</t>
        </is>
      </c>
      <c r="K15" t="inlineStr">
        <is>
          <t>lepidocrocite</t>
        </is>
      </c>
      <c r="L15" t="inlineStr">
        <is>
          <t>Libyan Desert Glass</t>
        </is>
      </c>
      <c r="M15" t="inlineStr">
        <is>
          <t>libyan-desert-glass</t>
        </is>
      </c>
      <c r="N15" t="b">
        <v>0</v>
      </c>
      <c r="O15" t="inlineStr">
        <is>
          <t>lepidolite</t>
        </is>
      </c>
      <c r="P15" t="inlineStr">
        <is>
          <t>Not Started</t>
        </is>
      </c>
      <c r="Q15" t="inlineStr">
        <is>
          <t>Third Eye</t>
        </is>
      </c>
      <c r="R15" t="inlineStr">
        <is>
          <t>Heart</t>
        </is>
      </c>
      <c r="S15" t="inlineStr">
        <is>
          <t>Third Eye</t>
        </is>
      </c>
      <c r="T15" t="inlineStr">
        <is>
          <t>Water</t>
        </is>
      </c>
      <c r="V15" t="inlineStr">
        <is>
          <t>Emotional Regulation</t>
        </is>
      </c>
      <c r="W15" t="inlineStr">
        <is>
          <t>emotional-regulation</t>
        </is>
      </c>
      <c r="X15" t="inlineStr">
        <is>
          <t>Mineral</t>
        </is>
      </c>
      <c r="Z15" s="3" t="inlineStr">
        <is>
          <t>Gentle transition</t>
        </is>
      </c>
      <c r="AA15" s="3" t="inlineStr">
        <is>
          <t>Use when change is happening faster than your emotions can comfortably process it.</t>
        </is>
      </c>
      <c r="AB15" s="3" t="n"/>
      <c r="AC15" t="inlineStr">
        <is>
          <t>Calm &amp; Peace</t>
        </is>
      </c>
      <c r="AD15" t="inlineStr">
        <is>
          <t>Emotional Balance</t>
        </is>
      </c>
      <c r="AF15" t="inlineStr">
        <is>
          <t>["Calm","Balance","Acceptance"]</t>
        </is>
      </c>
      <c r="AK15" t="b">
        <v>0</v>
      </c>
      <c r="AL15" t="inlineStr">
        <is>
          <t>SYNTHESIS COMPLETE</t>
        </is>
      </c>
      <c r="AM15" t="inlineStr">
        <is>
          <t>PASS 2 COMPLETE</t>
        </is>
      </c>
      <c r="AN15" t="inlineStr">
        <is>
          <t>SYNTHESIS COMPLETE</t>
        </is>
      </c>
      <c r="AO15" t="inlineStr">
        <is>
          <t>Not Started</t>
        </is>
      </c>
      <c r="AP15" t="inlineStr">
        <is>
          <t>Not Started</t>
        </is>
      </c>
      <c r="AR15" t="inlineStr">
        <is>
          <t>v0.3-2026-06-29</t>
        </is>
      </c>
      <c r="AT15" s="3" t="n"/>
    </row>
    <row r="16">
      <c r="A16" t="inlineStr">
        <is>
          <t>C-0020</t>
        </is>
      </c>
      <c r="B16" t="inlineStr">
        <is>
          <t>Malachite</t>
        </is>
      </c>
      <c r="D16" t="inlineStr">
        <is>
          <t>Copper Minerals</t>
        </is>
      </c>
      <c r="E16" t="inlineStr">
        <is>
          <t>Malachite</t>
        </is>
      </c>
      <c r="F16" t="n">
        <v>1</v>
      </c>
      <c r="G16" t="n">
        <v>2</v>
      </c>
      <c r="H16" t="n">
        <v>20</v>
      </c>
      <c r="I16" t="n">
        <v>20</v>
      </c>
      <c r="J16" t="inlineStr">
        <is>
          <t>Mahogany Obsidian</t>
        </is>
      </c>
      <c r="K16" t="inlineStr">
        <is>
          <t>mahogany-obsidian</t>
        </is>
      </c>
      <c r="L16" t="inlineStr">
        <is>
          <t>Mangano Calcite</t>
        </is>
      </c>
      <c r="M16" t="inlineStr">
        <is>
          <t>mangano-calcite</t>
        </is>
      </c>
      <c r="N16" t="b">
        <v>0</v>
      </c>
      <c r="O16" t="inlineStr">
        <is>
          <t>malachite</t>
        </is>
      </c>
      <c r="P16" t="inlineStr">
        <is>
          <t>Full Entry Live</t>
        </is>
      </c>
      <c r="Q16" t="inlineStr">
        <is>
          <t>Heart</t>
        </is>
      </c>
      <c r="R16" t="inlineStr">
        <is>
          <t>Solar Plexus</t>
        </is>
      </c>
      <c r="S16" t="inlineStr">
        <is>
          <t>Heart</t>
        </is>
      </c>
      <c r="X16" t="inlineStr">
        <is>
          <t>Mineral</t>
        </is>
      </c>
      <c r="Z16" s="3" t="inlineStr">
        <is>
          <t>Courageous change</t>
        </is>
      </c>
      <c r="AA16" s="3" t="inlineStr">
        <is>
          <t>Use when you know something needs to change but keep circling the same familiar pattern.</t>
        </is>
      </c>
      <c r="AB16" s="3" t="n"/>
      <c r="AC16" t="inlineStr">
        <is>
          <t>Transformation</t>
        </is>
      </c>
      <c r="AD16" t="inlineStr">
        <is>
          <t>Protection</t>
        </is>
      </c>
      <c r="AF16" t="inlineStr">
        <is>
          <t>["Transformation","Courage","Protection"]</t>
        </is>
      </c>
      <c r="AK16" t="b">
        <v>0</v>
      </c>
      <c r="AL16" t="inlineStr">
        <is>
          <t>Unreviewed</t>
        </is>
      </c>
      <c r="AM16" t="inlineStr">
        <is>
          <t>Complete</t>
        </is>
      </c>
      <c r="AN16" t="inlineStr">
        <is>
          <t>Approved</t>
        </is>
      </c>
      <c r="AO16" t="inlineStr">
        <is>
          <t>Complete</t>
        </is>
      </c>
      <c r="AP16" t="inlineStr">
        <is>
          <t>Not Started</t>
        </is>
      </c>
      <c r="AR16" t="inlineStr">
        <is>
          <t>v0.3-2026-06-29</t>
        </is>
      </c>
      <c r="AT16" s="3" t="n"/>
    </row>
    <row r="17">
      <c r="A17" t="inlineStr">
        <is>
          <t>C-0162</t>
        </is>
      </c>
      <c r="B17" t="inlineStr">
        <is>
          <t>Moonstone</t>
        </is>
      </c>
      <c r="D17" t="inlineStr">
        <is>
          <t>Feldspar</t>
        </is>
      </c>
      <c r="E17" t="inlineStr">
        <is>
          <t>Orthoclase</t>
        </is>
      </c>
      <c r="F17" t="n">
        <v>1</v>
      </c>
      <c r="G17" t="n">
        <v>2</v>
      </c>
      <c r="H17" t="n">
        <v>162</v>
      </c>
      <c r="I17" t="n">
        <v>162</v>
      </c>
      <c r="J17" t="inlineStr">
        <is>
          <t>Mookaite Jasper</t>
        </is>
      </c>
      <c r="K17" t="inlineStr">
        <is>
          <t>mookaite-jasper</t>
        </is>
      </c>
      <c r="L17" t="inlineStr">
        <is>
          <t>Morganite</t>
        </is>
      </c>
      <c r="M17" t="inlineStr">
        <is>
          <t>morganite</t>
        </is>
      </c>
      <c r="N17" t="b">
        <v>0</v>
      </c>
      <c r="O17" t="inlineStr">
        <is>
          <t>moonstone</t>
        </is>
      </c>
      <c r="P17" t="inlineStr">
        <is>
          <t>Full Entry Live</t>
        </is>
      </c>
      <c r="Q17" t="inlineStr">
        <is>
          <t>Crown</t>
        </is>
      </c>
      <c r="R17" t="inlineStr">
        <is>
          <t>Third Eye</t>
        </is>
      </c>
      <c r="S17" t="inlineStr">
        <is>
          <t>Crown</t>
        </is>
      </c>
      <c r="X17" t="inlineStr">
        <is>
          <t>Mineral</t>
        </is>
      </c>
      <c r="Z17" s="3" t="inlineStr">
        <is>
          <t>Emotional transitions</t>
        </is>
      </c>
      <c r="AA17" s="3" t="inlineStr">
        <is>
          <t>Use when you are moving through a transition and need permission to respond rather than force.</t>
        </is>
      </c>
      <c r="AB17" s="3" t="n"/>
      <c r="AC17" t="inlineStr">
        <is>
          <t>Intuition</t>
        </is>
      </c>
      <c r="AF17" t="inlineStr">
        <is>
          <t>["Intuition","Balance","Dreams"]</t>
        </is>
      </c>
      <c r="AK17" t="b">
        <v>0</v>
      </c>
      <c r="AL17" t="inlineStr">
        <is>
          <t>Unreviewed</t>
        </is>
      </c>
      <c r="AM17" t="inlineStr">
        <is>
          <t>Complete</t>
        </is>
      </c>
      <c r="AN17" t="inlineStr">
        <is>
          <t>Approved</t>
        </is>
      </c>
      <c r="AO17" t="inlineStr">
        <is>
          <t>Complete</t>
        </is>
      </c>
      <c r="AP17" t="inlineStr">
        <is>
          <t>Not Started</t>
        </is>
      </c>
      <c r="AR17" t="inlineStr">
        <is>
          <t>v0.3-2026-06-29</t>
        </is>
      </c>
      <c r="AT17" s="3" t="n"/>
    </row>
    <row r="18">
      <c r="A18" t="inlineStr">
        <is>
          <t>C-0137</t>
        </is>
      </c>
      <c r="B18" t="inlineStr">
        <is>
          <t>Pyrite</t>
        </is>
      </c>
      <c r="C18" t="inlineStr">
        <is>
          <t>Fool's Gold</t>
        </is>
      </c>
      <c r="D18" t="inlineStr">
        <is>
          <t>Sulfides</t>
        </is>
      </c>
      <c r="E18" t="inlineStr">
        <is>
          <t>Pyrite</t>
        </is>
      </c>
      <c r="F18" t="n">
        <v>1</v>
      </c>
      <c r="G18" t="n">
        <v>2</v>
      </c>
      <c r="H18" t="n">
        <v>137</v>
      </c>
      <c r="I18" t="n">
        <v>137</v>
      </c>
      <c r="J18" t="inlineStr">
        <is>
          <t>Purpurite</t>
        </is>
      </c>
      <c r="K18" t="inlineStr">
        <is>
          <t>purpurite</t>
        </is>
      </c>
      <c r="L18" t="inlineStr">
        <is>
          <t>Pyromorphite</t>
        </is>
      </c>
      <c r="M18" t="inlineStr">
        <is>
          <t>pyromorphite</t>
        </is>
      </c>
      <c r="N18" t="b">
        <v>0</v>
      </c>
      <c r="O18" t="inlineStr">
        <is>
          <t>pyrite</t>
        </is>
      </c>
      <c r="P18" t="inlineStr">
        <is>
          <t>Not Started</t>
        </is>
      </c>
      <c r="Q18" t="inlineStr">
        <is>
          <t>Solar Plexus</t>
        </is>
      </c>
      <c r="R18" t="inlineStr">
        <is>
          <t>Root</t>
        </is>
      </c>
      <c r="S18" t="inlineStr">
        <is>
          <t>Solar Plexus</t>
        </is>
      </c>
      <c r="T18" t="inlineStr">
        <is>
          <t>Earth</t>
        </is>
      </c>
      <c r="V18" t="inlineStr">
        <is>
          <t>Manifestation</t>
        </is>
      </c>
      <c r="W18" t="inlineStr">
        <is>
          <t>manifestation</t>
        </is>
      </c>
      <c r="X18" t="inlineStr">
        <is>
          <t>Mineral</t>
        </is>
      </c>
      <c r="Z18" s="3" t="inlineStr">
        <is>
          <t>Decisive action</t>
        </is>
      </c>
      <c r="AA18" s="3" t="inlineStr">
        <is>
          <t>Use when you need to stop circling an opportunity and begin acting with greater confidence and structure.</t>
        </is>
      </c>
      <c r="AB18" s="3" t="n"/>
      <c r="AC18" t="inlineStr">
        <is>
          <t>Confidence</t>
        </is>
      </c>
      <c r="AD18" t="inlineStr">
        <is>
          <t>Protection</t>
        </is>
      </c>
      <c r="AE18" t="inlineStr">
        <is>
          <t>Manifestation</t>
        </is>
      </c>
      <c r="AF18" t="inlineStr">
        <is>
          <t>["Confidence","Abundance","Protection"]</t>
        </is>
      </c>
      <c r="AK18" t="b">
        <v>0</v>
      </c>
      <c r="AL18" t="inlineStr">
        <is>
          <t>SYNTHESIS COMPLETE</t>
        </is>
      </c>
      <c r="AM18" t="inlineStr">
        <is>
          <t>PASS 2 COMPLETE</t>
        </is>
      </c>
      <c r="AN18" t="inlineStr">
        <is>
          <t>SYNTHESIS COMPLETE</t>
        </is>
      </c>
      <c r="AO18" t="inlineStr">
        <is>
          <t>Not Started</t>
        </is>
      </c>
      <c r="AP18" t="inlineStr">
        <is>
          <t>Not Started</t>
        </is>
      </c>
      <c r="AR18" t="inlineStr">
        <is>
          <t>v0.3-2026-06-29</t>
        </is>
      </c>
      <c r="AT18" s="3" t="n"/>
    </row>
    <row r="19">
      <c r="A19" t="inlineStr">
        <is>
          <t>C-0030</t>
        </is>
      </c>
      <c r="B19" t="inlineStr">
        <is>
          <t>Rainbow Moonstone</t>
        </is>
      </c>
      <c r="C19" t="inlineStr">
        <is>
          <t>White Labradorite</t>
        </is>
      </c>
      <c r="D19" t="inlineStr">
        <is>
          <t>Feldspar</t>
        </is>
      </c>
      <c r="E19" t="inlineStr">
        <is>
          <t>Plagioclase</t>
        </is>
      </c>
      <c r="F19" t="n">
        <v>1</v>
      </c>
      <c r="G19" t="n">
        <v>3</v>
      </c>
      <c r="H19" t="n">
        <v>30</v>
      </c>
      <c r="I19" t="n">
        <v>30</v>
      </c>
      <c r="J19" t="inlineStr">
        <is>
          <t>Rainbow Fluorite</t>
        </is>
      </c>
      <c r="K19" t="inlineStr">
        <is>
          <t>rainbow-fluorite</t>
        </is>
      </c>
      <c r="L19" t="inlineStr">
        <is>
          <t>Rainbow Obsidian</t>
        </is>
      </c>
      <c r="M19" t="inlineStr">
        <is>
          <t>rainbow-obsidian</t>
        </is>
      </c>
      <c r="N19" t="b">
        <v>0</v>
      </c>
      <c r="O19" t="inlineStr">
        <is>
          <t>rainbow-moonstone</t>
        </is>
      </c>
      <c r="P19" t="inlineStr">
        <is>
          <t>Full Entry Live</t>
        </is>
      </c>
      <c r="Q19" t="inlineStr">
        <is>
          <t>Crown</t>
        </is>
      </c>
      <c r="S19" t="inlineStr">
        <is>
          <t>Crown</t>
        </is>
      </c>
      <c r="X19" t="inlineStr">
        <is>
          <t>Mineral variety</t>
        </is>
      </c>
      <c r="Z19" s="3" t="inlineStr">
        <is>
          <t>Luminous protection</t>
        </is>
      </c>
      <c r="AA19" s="3" t="inlineStr">
        <is>
          <t>Use when you want to remain open and intuitive without absorbing everything around you.</t>
        </is>
      </c>
      <c r="AB19" s="3" t="n"/>
      <c r="AC19" t="inlineStr">
        <is>
          <t>Intuition</t>
        </is>
      </c>
      <c r="AD19" t="inlineStr">
        <is>
          <t>Emotional Balance</t>
        </is>
      </c>
      <c r="AF19" t="inlineStr">
        <is>
          <t>["Intuition","Protection","Balance"]</t>
        </is>
      </c>
      <c r="AK19" t="b">
        <v>0</v>
      </c>
      <c r="AL19" t="inlineStr">
        <is>
          <t>Unreviewed</t>
        </is>
      </c>
      <c r="AM19" t="inlineStr">
        <is>
          <t>Complete</t>
        </is>
      </c>
      <c r="AN19" t="inlineStr">
        <is>
          <t>Approved</t>
        </is>
      </c>
      <c r="AO19" t="inlineStr">
        <is>
          <t>Complete</t>
        </is>
      </c>
      <c r="AP19" t="inlineStr">
        <is>
          <t>Not Started</t>
        </is>
      </c>
      <c r="AR19" t="inlineStr">
        <is>
          <t>v0.3-2026-06-29</t>
        </is>
      </c>
      <c r="AT19" s="3" t="n"/>
    </row>
    <row r="20">
      <c r="A20" t="inlineStr">
        <is>
          <t>C-0218</t>
        </is>
      </c>
      <c r="B20" t="inlineStr">
        <is>
          <t>Sodalite</t>
        </is>
      </c>
      <c r="D20" t="inlineStr">
        <is>
          <t>Silicates</t>
        </is>
      </c>
      <c r="E20" t="inlineStr">
        <is>
          <t>Sodalite</t>
        </is>
      </c>
      <c r="F20" t="n">
        <v>1</v>
      </c>
      <c r="G20" t="n">
        <v>3</v>
      </c>
      <c r="H20" t="n">
        <v>218</v>
      </c>
      <c r="I20" t="n">
        <v>218</v>
      </c>
      <c r="J20" t="inlineStr">
        <is>
          <t>Snowflake Obsidian</t>
        </is>
      </c>
      <c r="K20" t="inlineStr">
        <is>
          <t>snowflake-obsidian</t>
        </is>
      </c>
      <c r="L20" t="inlineStr">
        <is>
          <t>Spectrolite</t>
        </is>
      </c>
      <c r="M20" t="inlineStr">
        <is>
          <t>spectrolite</t>
        </is>
      </c>
      <c r="N20" t="b">
        <v>0</v>
      </c>
      <c r="O20" t="inlineStr">
        <is>
          <t>sodalite</t>
        </is>
      </c>
      <c r="P20" t="inlineStr">
        <is>
          <t>Full Entry Live</t>
        </is>
      </c>
      <c r="Q20" t="inlineStr">
        <is>
          <t>Throat</t>
        </is>
      </c>
      <c r="R20" t="inlineStr">
        <is>
          <t>Third Eye</t>
        </is>
      </c>
      <c r="S20" t="inlineStr">
        <is>
          <t>Throat</t>
        </is>
      </c>
      <c r="X20" t="inlineStr">
        <is>
          <t>Mineral</t>
        </is>
      </c>
      <c r="Z20" s="3" t="inlineStr">
        <is>
          <t>Clear thinking</t>
        </is>
      </c>
      <c r="AA20" s="3" t="inlineStr">
        <is>
          <t>Use when you need to organize your thoughts and speak from a calm, truthful place.</t>
        </is>
      </c>
      <c r="AB20" s="3" t="n"/>
      <c r="AC20" t="inlineStr">
        <is>
          <t>Clarity &amp; Focus</t>
        </is>
      </c>
      <c r="AD20" t="inlineStr">
        <is>
          <t>Communication</t>
        </is>
      </c>
      <c r="AE20" t="inlineStr">
        <is>
          <t>Calm &amp; Peace</t>
        </is>
      </c>
      <c r="AF20" t="inlineStr">
        <is>
          <t>["Clarity","Communication","Truth"]</t>
        </is>
      </c>
      <c r="AK20" t="b">
        <v>0</v>
      </c>
      <c r="AL20" t="inlineStr">
        <is>
          <t>Unreviewed</t>
        </is>
      </c>
      <c r="AM20" t="inlineStr">
        <is>
          <t>Complete</t>
        </is>
      </c>
      <c r="AN20" t="inlineStr">
        <is>
          <t>Approved</t>
        </is>
      </c>
      <c r="AO20" t="inlineStr">
        <is>
          <t>Complete</t>
        </is>
      </c>
      <c r="AP20" t="inlineStr">
        <is>
          <t>Not Started</t>
        </is>
      </c>
      <c r="AR20" t="inlineStr">
        <is>
          <t>v0.3-2026-06-29</t>
        </is>
      </c>
      <c r="AT20" s="3" t="n"/>
    </row>
    <row r="21">
      <c r="A21" t="inlineStr">
        <is>
          <t>C-0029</t>
        </is>
      </c>
      <c r="B21" t="inlineStr">
        <is>
          <t>Sunstone</t>
        </is>
      </c>
      <c r="D21" t="inlineStr">
        <is>
          <t>Feldspar</t>
        </is>
      </c>
      <c r="E21" t="inlineStr">
        <is>
          <t>Plagioclase</t>
        </is>
      </c>
      <c r="F21" t="n">
        <v>1</v>
      </c>
      <c r="G21" t="n">
        <v>3</v>
      </c>
      <c r="H21" t="n">
        <v>29</v>
      </c>
      <c r="I21" t="n">
        <v>29</v>
      </c>
      <c r="J21" t="inlineStr">
        <is>
          <t>Sulfur</t>
        </is>
      </c>
      <c r="K21" t="inlineStr">
        <is>
          <t>sulfur</t>
        </is>
      </c>
      <c r="L21" t="inlineStr">
        <is>
          <t>Super Seven</t>
        </is>
      </c>
      <c r="M21" t="inlineStr">
        <is>
          <t>super-seven</t>
        </is>
      </c>
      <c r="N21" t="b">
        <v>0</v>
      </c>
      <c r="O21" t="inlineStr">
        <is>
          <t>sunstone</t>
        </is>
      </c>
      <c r="P21" t="inlineStr">
        <is>
          <t>Full Entry Live</t>
        </is>
      </c>
      <c r="Q21" t="inlineStr">
        <is>
          <t>Sacral</t>
        </is>
      </c>
      <c r="R21" t="inlineStr">
        <is>
          <t>Solar Plexus</t>
        </is>
      </c>
      <c r="S21" t="inlineStr">
        <is>
          <t>Sacral</t>
        </is>
      </c>
      <c r="X21" t="inlineStr">
        <is>
          <t>Mineral</t>
        </is>
      </c>
      <c r="Z21" s="3" t="inlineStr">
        <is>
          <t>Visible confidence</t>
        </is>
      </c>
      <c r="AA21" s="3" t="inlineStr">
        <is>
          <t>Use when you are ready to be more visible but fear of judgment is making you dim your natural enthusiasm.</t>
        </is>
      </c>
      <c r="AB21" s="3" t="n"/>
      <c r="AC21" t="inlineStr">
        <is>
          <t>Confidence</t>
        </is>
      </c>
      <c r="AD21" t="inlineStr">
        <is>
          <t>Vitality</t>
        </is>
      </c>
      <c r="AF21" t="inlineStr">
        <is>
          <t>["Confidence","Joy","Independence"]</t>
        </is>
      </c>
      <c r="AK21" t="b">
        <v>0</v>
      </c>
      <c r="AL21" t="inlineStr">
        <is>
          <t>Unreviewed</t>
        </is>
      </c>
      <c r="AM21" t="inlineStr">
        <is>
          <t>Complete</t>
        </is>
      </c>
      <c r="AN21" t="inlineStr">
        <is>
          <t>Approved</t>
        </is>
      </c>
      <c r="AO21" t="inlineStr">
        <is>
          <t>Complete</t>
        </is>
      </c>
      <c r="AP21" t="inlineStr">
        <is>
          <t>Not Started</t>
        </is>
      </c>
      <c r="AR21" t="inlineStr">
        <is>
          <t>v0.3-2026-06-29</t>
        </is>
      </c>
      <c r="AT21" s="3" t="n"/>
    </row>
    <row r="22">
      <c r="A22" t="inlineStr">
        <is>
          <t>C-0025</t>
        </is>
      </c>
      <c r="B22" t="inlineStr">
        <is>
          <t>Amazonite</t>
        </is>
      </c>
      <c r="D22" t="inlineStr">
        <is>
          <t>Feldspar</t>
        </is>
      </c>
      <c r="E22" t="inlineStr">
        <is>
          <t>Microcline</t>
        </is>
      </c>
      <c r="F22" t="n">
        <v>1</v>
      </c>
      <c r="G22" t="n">
        <v>1</v>
      </c>
      <c r="H22" t="n">
        <v>25</v>
      </c>
      <c r="I22" t="n">
        <v>25</v>
      </c>
      <c r="J22" t="inlineStr">
        <is>
          <t>Alexandrite</t>
        </is>
      </c>
      <c r="K22" t="inlineStr">
        <is>
          <t>alexandrite</t>
        </is>
      </c>
      <c r="L22" t="inlineStr">
        <is>
          <t>Amber</t>
        </is>
      </c>
      <c r="M22" t="inlineStr">
        <is>
          <t>amber</t>
        </is>
      </c>
      <c r="N22" t="b">
        <v>0</v>
      </c>
      <c r="O22" t="inlineStr">
        <is>
          <t>amazonite</t>
        </is>
      </c>
      <c r="P22" t="inlineStr">
        <is>
          <t>Full Entry Live</t>
        </is>
      </c>
      <c r="Q22" t="inlineStr">
        <is>
          <t>Heart</t>
        </is>
      </c>
      <c r="R22" t="inlineStr">
        <is>
          <t>Throat</t>
        </is>
      </c>
      <c r="S22" t="inlineStr">
        <is>
          <t>Heart</t>
        </is>
      </c>
      <c r="T22" t="inlineStr">
        <is>
          <t>Water</t>
        </is>
      </c>
      <c r="U22" t="inlineStr">
        <is>
          <t>Virgo</t>
        </is>
      </c>
      <c r="V22" t="inlineStr">
        <is>
          <t>Emotional Regulation</t>
        </is>
      </c>
      <c r="W22" t="inlineStr">
        <is>
          <t>emotional-regulation</t>
        </is>
      </c>
      <c r="X22" t="inlineStr">
        <is>
          <t>Mineral variety</t>
        </is>
      </c>
      <c r="Y22" t="inlineStr">
        <is>
          <t>Blue Green</t>
        </is>
      </c>
      <c r="Z22" s="3" t="inlineStr">
        <is>
          <t>Calm expression</t>
        </is>
      </c>
      <c r="AA22" s="3" t="inlineStr">
        <is>
          <t>Use when you need to say what is true without becoming overwhelmed, defensive, or overly forceful.</t>
        </is>
      </c>
      <c r="AB22" s="3" t="inlineStr">
        <is>
          <t>I speak my truth with calm, clarity, and care.</t>
        </is>
      </c>
      <c r="AC22" t="inlineStr">
        <is>
          <t>Communication</t>
        </is>
      </c>
      <c r="AD22" t="inlineStr">
        <is>
          <t>Protection</t>
        </is>
      </c>
      <c r="AF22" t="inlineStr">
        <is>
          <t>["Communication","Truth","Calm"]</t>
        </is>
      </c>
      <c r="AK22" t="b">
        <v>0</v>
      </c>
      <c r="AL22" t="inlineStr">
        <is>
          <t>Confirmed</t>
        </is>
      </c>
      <c r="AM22" t="inlineStr">
        <is>
          <t>Complete</t>
        </is>
      </c>
      <c r="AN22" t="inlineStr">
        <is>
          <t>Approved</t>
        </is>
      </c>
      <c r="AO22" t="inlineStr">
        <is>
          <t>Complete</t>
        </is>
      </c>
      <c r="AP22" t="inlineStr">
        <is>
          <t>Not Started</t>
        </is>
      </c>
      <c r="AQ22" t="inlineStr">
        <is>
          <t>Lyra</t>
        </is>
      </c>
      <c r="AR22" t="inlineStr">
        <is>
          <t>v0.3-2026-06-30</t>
        </is>
      </c>
      <c r="AT22" s="3" t="inlineStr">
        <is>
          <t>Cohort 1 Gate 1 research complete; canonical MD approved by Christie on 2026-06-30. Image, Supabase, and visual QA remain pending.</t>
        </is>
      </c>
    </row>
    <row r="23">
      <c r="A23" t="inlineStr">
        <is>
          <t>C-0063</t>
        </is>
      </c>
      <c r="B23" t="inlineStr">
        <is>
          <t>Black Kyanite</t>
        </is>
      </c>
      <c r="D23" t="inlineStr">
        <is>
          <t>Kyanite</t>
        </is>
      </c>
      <c r="E23" t="inlineStr">
        <is>
          <t>Kyanite</t>
        </is>
      </c>
      <c r="F23" t="n">
        <v>1</v>
      </c>
      <c r="G23" t="n">
        <v>1</v>
      </c>
      <c r="H23" t="n">
        <v>63</v>
      </c>
      <c r="I23" t="n">
        <v>63</v>
      </c>
      <c r="J23" t="inlineStr">
        <is>
          <t>Black Chalcedony</t>
        </is>
      </c>
      <c r="K23" t="inlineStr">
        <is>
          <t>black-chalcedony</t>
        </is>
      </c>
      <c r="L23" t="inlineStr">
        <is>
          <t>Black Moonstone</t>
        </is>
      </c>
      <c r="M23" t="inlineStr">
        <is>
          <t>black-moonstone</t>
        </is>
      </c>
      <c r="N23" t="b">
        <v>0</v>
      </c>
      <c r="O23" t="inlineStr">
        <is>
          <t>black-kyanite</t>
        </is>
      </c>
      <c r="P23" t="inlineStr">
        <is>
          <t>MD Approved</t>
        </is>
      </c>
      <c r="Q23" t="inlineStr">
        <is>
          <t>Root</t>
        </is>
      </c>
      <c r="S23" t="inlineStr">
        <is>
          <t>Root</t>
        </is>
      </c>
      <c r="T23" t="inlineStr">
        <is>
          <t>Storm</t>
        </is>
      </c>
      <c r="U23" t="inlineStr">
        <is>
          <t>Aries · Taurus</t>
        </is>
      </c>
      <c r="V23" t="inlineStr">
        <is>
          <t>Protection</t>
        </is>
      </c>
      <c r="W23" t="inlineStr">
        <is>
          <t>protection</t>
        </is>
      </c>
      <c r="X23" t="inlineStr">
        <is>
          <t>Mineral</t>
        </is>
      </c>
      <c r="Y23" t="inlineStr">
        <is>
          <t>Black</t>
        </is>
      </c>
      <c r="Z23" s="3" t="inlineStr">
        <is>
          <t>Boundary clearing</t>
        </is>
      </c>
      <c r="AA23" s="3" t="inlineStr">
        <is>
          <t>Use when you need to make a clean energetic or emotional separation without continuing to revisit the same decision.</t>
        </is>
      </c>
      <c r="AB23" s="3" t="inlineStr">
        <is>
          <t>I clear what is complete and return fully to my own center.</t>
        </is>
      </c>
      <c r="AC23" t="inlineStr">
        <is>
          <t>Protection</t>
        </is>
      </c>
      <c r="AD23" t="inlineStr">
        <is>
          <t>Transformation</t>
        </is>
      </c>
      <c r="AF23" t="inlineStr">
        <is>
          <t>["Protection","Purification","Boundaries"]</t>
        </is>
      </c>
      <c r="AK23" t="b">
        <v>0</v>
      </c>
      <c r="AL23" t="inlineStr">
        <is>
          <t>Confirmed</t>
        </is>
      </c>
      <c r="AM23" t="inlineStr">
        <is>
          <t>Complete</t>
        </is>
      </c>
      <c r="AN23" t="inlineStr">
        <is>
          <t>Approved</t>
        </is>
      </c>
      <c r="AO23" t="inlineStr">
        <is>
          <t>Not Started</t>
        </is>
      </c>
      <c r="AP23" t="inlineStr">
        <is>
          <t>Not Started</t>
        </is>
      </c>
      <c r="AQ23" t="inlineStr">
        <is>
          <t>Lyra</t>
        </is>
      </c>
      <c r="AR23" t="inlineStr">
        <is>
          <t>v0.3-2026-06-30</t>
        </is>
      </c>
      <c r="AT23" s="3" t="inlineStr">
        <is>
          <t>Cohort 1 Gate 1 research complete; canonical MD approved by Christie on 2026-06-30. Image, Supabase, and visual QA remain pending.</t>
        </is>
      </c>
    </row>
    <row r="24">
      <c r="A24" t="inlineStr">
        <is>
          <t>C-0151</t>
        </is>
      </c>
      <c r="B24" t="inlineStr">
        <is>
          <t>Bloodstone</t>
        </is>
      </c>
      <c r="D24" t="inlineStr">
        <is>
          <t>Aggregate</t>
        </is>
      </c>
      <c r="E24" t="inlineStr">
        <is>
          <t>Chalcedony</t>
        </is>
      </c>
      <c r="F24" t="n">
        <v>1</v>
      </c>
      <c r="G24" t="n">
        <v>1</v>
      </c>
      <c r="H24" t="n">
        <v>151</v>
      </c>
      <c r="I24" t="n">
        <v>151</v>
      </c>
      <c r="J24" t="inlineStr">
        <is>
          <t>Black Tourmaline</t>
        </is>
      </c>
      <c r="K24" t="inlineStr">
        <is>
          <t>black-tourmaline</t>
        </is>
      </c>
      <c r="L24" t="inlineStr">
        <is>
          <t>Blue Apatite</t>
        </is>
      </c>
      <c r="M24" t="inlineStr">
        <is>
          <t>blue-apatite</t>
        </is>
      </c>
      <c r="N24" t="b">
        <v>0</v>
      </c>
      <c r="O24" t="inlineStr">
        <is>
          <t>bloodstone</t>
        </is>
      </c>
      <c r="P24" t="inlineStr">
        <is>
          <t>MD Approved</t>
        </is>
      </c>
      <c r="Q24" t="inlineStr">
        <is>
          <t>Root</t>
        </is>
      </c>
      <c r="S24" t="inlineStr">
        <is>
          <t>Root</t>
        </is>
      </c>
      <c r="T24" t="inlineStr">
        <is>
          <t>Earth</t>
        </is>
      </c>
      <c r="U24" t="inlineStr">
        <is>
          <t>Gemini · Scorpio</t>
        </is>
      </c>
      <c r="V24" t="inlineStr">
        <is>
          <t>Vitality</t>
        </is>
      </c>
      <c r="W24" t="inlineStr">
        <is>
          <t>vitality</t>
        </is>
      </c>
      <c r="X24" t="inlineStr">
        <is>
          <t>Mineral variety</t>
        </is>
      </c>
      <c r="Y24" t="inlineStr">
        <is>
          <t>Deep Green · Red</t>
        </is>
      </c>
      <c r="Z24" s="3" t="inlineStr">
        <is>
          <t>Steady courage</t>
        </is>
      </c>
      <c r="AA24" s="3" t="inlineStr">
        <is>
          <t>Use when a demanding situation requires persistence, composure, and the willingness to keep showing up.</t>
        </is>
      </c>
      <c r="AB24" s="3" t="inlineStr">
        <is>
          <t>I meet pressure with courage, endurance, and a steady heart.</t>
        </is>
      </c>
      <c r="AC24" t="inlineStr">
        <is>
          <t>Grounding</t>
        </is>
      </c>
      <c r="AD24" t="inlineStr">
        <is>
          <t>Confidence</t>
        </is>
      </c>
      <c r="AF24" t="inlineStr">
        <is>
          <t>["Courage","Endurance","Vitality"]</t>
        </is>
      </c>
      <c r="AK24" t="b">
        <v>0</v>
      </c>
      <c r="AL24" t="inlineStr">
        <is>
          <t>Confirmed</t>
        </is>
      </c>
      <c r="AM24" t="inlineStr">
        <is>
          <t>Complete</t>
        </is>
      </c>
      <c r="AN24" t="inlineStr">
        <is>
          <t>Approved</t>
        </is>
      </c>
      <c r="AO24" t="inlineStr">
        <is>
          <t>Not Started</t>
        </is>
      </c>
      <c r="AP24" t="inlineStr">
        <is>
          <t>Not Started</t>
        </is>
      </c>
      <c r="AQ24" t="inlineStr">
        <is>
          <t>Lyra</t>
        </is>
      </c>
      <c r="AR24" t="inlineStr">
        <is>
          <t>v0.3-2026-06-30</t>
        </is>
      </c>
      <c r="AT24" s="3" t="inlineStr">
        <is>
          <t>Cohort 1 Gate 1 research complete; canonical MD approved by Christie on 2026-06-30. Image, Supabase, and visual QA remain pending.</t>
        </is>
      </c>
    </row>
    <row r="25">
      <c r="A25" t="inlineStr">
        <is>
          <t>C-0241</t>
        </is>
      </c>
      <c r="B25" t="inlineStr">
        <is>
          <t>Howlite</t>
        </is>
      </c>
      <c r="D25" t="inlineStr">
        <is>
          <t>Other Mineral</t>
        </is>
      </c>
      <c r="E25" t="inlineStr">
        <is>
          <t>Howlite</t>
        </is>
      </c>
      <c r="F25" t="n">
        <v>1</v>
      </c>
      <c r="G25" t="n">
        <v>2</v>
      </c>
      <c r="H25" t="n">
        <v>241</v>
      </c>
      <c r="I25" t="n">
        <v>241</v>
      </c>
      <c r="J25" t="inlineStr">
        <is>
          <t>Honey Calcite</t>
        </is>
      </c>
      <c r="K25" t="inlineStr">
        <is>
          <t>honey-calcite</t>
        </is>
      </c>
      <c r="L25" t="inlineStr">
        <is>
          <t>Hypersthene</t>
        </is>
      </c>
      <c r="M25" t="inlineStr">
        <is>
          <t>hypersthene</t>
        </is>
      </c>
      <c r="N25" t="b">
        <v>0</v>
      </c>
      <c r="O25" t="inlineStr">
        <is>
          <t>howlite</t>
        </is>
      </c>
      <c r="P25" t="inlineStr">
        <is>
          <t>Not Started</t>
        </is>
      </c>
      <c r="Q25" t="inlineStr">
        <is>
          <t>Crown</t>
        </is>
      </c>
      <c r="S25" t="inlineStr">
        <is>
          <t>Crown</t>
        </is>
      </c>
      <c r="T25" t="inlineStr">
        <is>
          <t>Air</t>
        </is>
      </c>
      <c r="V25" t="inlineStr">
        <is>
          <t>Calm &amp; Peace</t>
        </is>
      </c>
      <c r="W25" t="inlineStr">
        <is>
          <t>calm-peace</t>
        </is>
      </c>
      <c r="X25" t="inlineStr">
        <is>
          <t>Mineral</t>
        </is>
      </c>
      <c r="Z25" s="3" t="inlineStr">
        <is>
          <t>Mental stillness</t>
        </is>
      </c>
      <c r="AA25" s="3" t="inlineStr">
        <is>
          <t>Use when you need to soften mental noise and return to steadiness before reacting.</t>
        </is>
      </c>
      <c r="AB25" s="3" t="n"/>
      <c r="AC25" t="inlineStr">
        <is>
          <t>Calm &amp; Peace</t>
        </is>
      </c>
      <c r="AF25" t="inlineStr">
        <is>
          <t>["Calm","Peace","Rest"]</t>
        </is>
      </c>
      <c r="AK25" t="b">
        <v>0</v>
      </c>
      <c r="AL25" t="inlineStr">
        <is>
          <t>SYNTHESIS COMPLETE</t>
        </is>
      </c>
      <c r="AM25" t="inlineStr">
        <is>
          <t>PASS 2 COMPLETE</t>
        </is>
      </c>
      <c r="AN25" t="inlineStr">
        <is>
          <t>SYNTHESIS COMPLETE</t>
        </is>
      </c>
      <c r="AO25" t="inlineStr">
        <is>
          <t>Not Started</t>
        </is>
      </c>
      <c r="AP25" t="inlineStr">
        <is>
          <t>Not Started</t>
        </is>
      </c>
      <c r="AR25" t="inlineStr">
        <is>
          <t>v0.3-2026-06-29</t>
        </is>
      </c>
      <c r="AT25" s="3" t="n"/>
    </row>
    <row r="26">
      <c r="A26" t="inlineStr">
        <is>
          <t>C-0077</t>
        </is>
      </c>
      <c r="B26" t="inlineStr">
        <is>
          <t>Moss Agate</t>
        </is>
      </c>
      <c r="D26" t="inlineStr">
        <is>
          <t>Quartz</t>
        </is>
      </c>
      <c r="E26" t="inlineStr">
        <is>
          <t>Quartz</t>
        </is>
      </c>
      <c r="F26" t="n">
        <v>1</v>
      </c>
      <c r="G26" t="n">
        <v>2</v>
      </c>
      <c r="H26" t="n">
        <v>77</v>
      </c>
      <c r="I26" t="n">
        <v>77</v>
      </c>
      <c r="J26" t="inlineStr">
        <is>
          <t>Morganite</t>
        </is>
      </c>
      <c r="K26" t="inlineStr">
        <is>
          <t>morganite</t>
        </is>
      </c>
      <c r="L26" t="inlineStr">
        <is>
          <t>Muscovite</t>
        </is>
      </c>
      <c r="M26" t="inlineStr">
        <is>
          <t>muscovite</t>
        </is>
      </c>
      <c r="N26" t="b">
        <v>0</v>
      </c>
      <c r="O26" t="inlineStr">
        <is>
          <t>moss-agate</t>
        </is>
      </c>
      <c r="P26" t="inlineStr">
        <is>
          <t>Not Started</t>
        </is>
      </c>
      <c r="Q26" t="inlineStr">
        <is>
          <t>Heart</t>
        </is>
      </c>
      <c r="R26" t="inlineStr">
        <is>
          <t>Root</t>
        </is>
      </c>
      <c r="S26" t="inlineStr">
        <is>
          <t>Heart</t>
        </is>
      </c>
      <c r="T26" t="inlineStr">
        <is>
          <t>Earth</t>
        </is>
      </c>
      <c r="V26" t="inlineStr">
        <is>
          <t>Manifestation</t>
        </is>
      </c>
      <c r="W26" t="inlineStr">
        <is>
          <t>manifestation</t>
        </is>
      </c>
      <c r="X26" t="inlineStr">
        <is>
          <t>Mineral</t>
        </is>
      </c>
      <c r="Z26" s="3" t="inlineStr">
        <is>
          <t>Steady renewal</t>
        </is>
      </c>
      <c r="AA26" s="3" t="inlineStr">
        <is>
          <t>Use when you need encouragement to grow slowly without mistaking gradual progress for failure.</t>
        </is>
      </c>
      <c r="AB26" s="3" t="n"/>
      <c r="AC26" t="inlineStr">
        <is>
          <t>Grounding</t>
        </is>
      </c>
      <c r="AD26" t="inlineStr">
        <is>
          <t>Manifestation</t>
        </is>
      </c>
      <c r="AF26" t="inlineStr">
        <is>
          <t>["Growth","Grounding","Stability"]</t>
        </is>
      </c>
      <c r="AK26" t="b">
        <v>0</v>
      </c>
      <c r="AL26" t="inlineStr">
        <is>
          <t>SYNTHESIS COMPLETE</t>
        </is>
      </c>
      <c r="AM26" t="inlineStr">
        <is>
          <t>PASS 2 COMPLETE</t>
        </is>
      </c>
      <c r="AN26" t="inlineStr">
        <is>
          <t>SYNTHESIS COMPLETE</t>
        </is>
      </c>
      <c r="AO26" t="inlineStr">
        <is>
          <t>Not Started</t>
        </is>
      </c>
      <c r="AP26" t="inlineStr">
        <is>
          <t>Not Started</t>
        </is>
      </c>
      <c r="AR26" t="inlineStr">
        <is>
          <t>v0.3-2026-06-29</t>
        </is>
      </c>
      <c r="AT26" s="3" t="n"/>
    </row>
    <row r="27">
      <c r="A27" t="inlineStr">
        <is>
          <t>C-0095</t>
        </is>
      </c>
      <c r="B27" t="inlineStr">
        <is>
          <t>Ocean Jasper</t>
        </is>
      </c>
      <c r="D27" t="inlineStr">
        <is>
          <t>Quartz</t>
        </is>
      </c>
      <c r="E27" t="inlineStr">
        <is>
          <t>Quartz</t>
        </is>
      </c>
      <c r="F27" t="n">
        <v>1</v>
      </c>
      <c r="G27" t="n">
        <v>2</v>
      </c>
      <c r="H27" t="n">
        <v>95</v>
      </c>
      <c r="I27" t="n">
        <v>95</v>
      </c>
      <c r="J27" t="inlineStr">
        <is>
          <t>Nuumite</t>
        </is>
      </c>
      <c r="K27" t="inlineStr">
        <is>
          <t>nuumite</t>
        </is>
      </c>
      <c r="L27" t="inlineStr">
        <is>
          <t>Onyx</t>
        </is>
      </c>
      <c r="M27" t="inlineStr">
        <is>
          <t>onyx</t>
        </is>
      </c>
      <c r="N27" t="b">
        <v>0</v>
      </c>
      <c r="O27" t="inlineStr">
        <is>
          <t>ocean-jasper</t>
        </is>
      </c>
      <c r="P27" t="inlineStr">
        <is>
          <t>Not Started</t>
        </is>
      </c>
      <c r="Q27" t="inlineStr">
        <is>
          <t>Heart</t>
        </is>
      </c>
      <c r="R27" t="inlineStr">
        <is>
          <t>Throat</t>
        </is>
      </c>
      <c r="S27" t="inlineStr">
        <is>
          <t>Heart</t>
        </is>
      </c>
      <c r="T27" t="inlineStr">
        <is>
          <t>Water</t>
        </is>
      </c>
      <c r="V27" t="inlineStr">
        <is>
          <t>Calm &amp; Peace</t>
        </is>
      </c>
      <c r="W27" t="inlineStr">
        <is>
          <t>calm-peace</t>
        </is>
      </c>
      <c r="X27" t="inlineStr">
        <is>
          <t>Mineral</t>
        </is>
      </c>
      <c r="Z27" s="3" t="inlineStr">
        <is>
          <t>Emotional rhythm</t>
        </is>
      </c>
      <c r="AA27" s="3" t="inlineStr">
        <is>
          <t>Use when you are judging yourself for not feeling, healing, or progressing at the same pace every day.</t>
        </is>
      </c>
      <c r="AB27" s="3" t="n"/>
      <c r="AC27" t="inlineStr">
        <is>
          <t>Joy</t>
        </is>
      </c>
      <c r="AD27" t="inlineStr">
        <is>
          <t>Emotional Balance</t>
        </is>
      </c>
      <c r="AF27" t="inlineStr">
        <is>
          <t>["Joy","Balance","Renewal"]</t>
        </is>
      </c>
      <c r="AK27" t="b">
        <v>0</v>
      </c>
      <c r="AL27" t="inlineStr">
        <is>
          <t>SYNTHESIS COMPLETE</t>
        </is>
      </c>
      <c r="AM27" t="inlineStr">
        <is>
          <t>PASS 2 COMPLETE</t>
        </is>
      </c>
      <c r="AN27" t="inlineStr">
        <is>
          <t>SYNTHESIS COMPLETE</t>
        </is>
      </c>
      <c r="AO27" t="inlineStr">
        <is>
          <t>Not Started</t>
        </is>
      </c>
      <c r="AP27" t="inlineStr">
        <is>
          <t>Not Started</t>
        </is>
      </c>
      <c r="AR27" t="inlineStr">
        <is>
          <t>v0.3-2026-06-29</t>
        </is>
      </c>
      <c r="AT27" s="3" t="n"/>
    </row>
    <row r="28">
      <c r="A28" t="inlineStr">
        <is>
          <t>C-0035</t>
        </is>
      </c>
      <c r="B28" t="inlineStr">
        <is>
          <t>Rainbow Fluorite</t>
        </is>
      </c>
      <c r="D28" t="inlineStr">
        <is>
          <t>Fluorite</t>
        </is>
      </c>
      <c r="E28" t="inlineStr">
        <is>
          <t>Fluorite</t>
        </is>
      </c>
      <c r="F28" t="n">
        <v>1</v>
      </c>
      <c r="G28" t="n">
        <v>3</v>
      </c>
      <c r="H28" t="n">
        <v>35</v>
      </c>
      <c r="I28" t="n">
        <v>35</v>
      </c>
      <c r="J28" t="inlineStr">
        <is>
          <t>Que Sera Stone</t>
        </is>
      </c>
      <c r="K28" t="inlineStr">
        <is>
          <t>que-sera-stone</t>
        </is>
      </c>
      <c r="L28" t="inlineStr">
        <is>
          <t>Rainbow Moonstone</t>
        </is>
      </c>
      <c r="M28" t="inlineStr">
        <is>
          <t>rainbow-moonstone</t>
        </is>
      </c>
      <c r="N28" t="b">
        <v>0</v>
      </c>
      <c r="O28" t="inlineStr">
        <is>
          <t>rainbow-fluorite</t>
        </is>
      </c>
      <c r="P28" t="inlineStr">
        <is>
          <t>Full Entry Live</t>
        </is>
      </c>
      <c r="Q28" t="inlineStr">
        <is>
          <t>Third Eye</t>
        </is>
      </c>
      <c r="S28" t="inlineStr">
        <is>
          <t>Third Eye</t>
        </is>
      </c>
      <c r="X28" t="inlineStr">
        <is>
          <t>Mineral</t>
        </is>
      </c>
      <c r="Z28" s="3" t="inlineStr">
        <is>
          <t>Mental organization</t>
        </is>
      </c>
      <c r="AA28" s="3" t="inlineStr">
        <is>
          <t>Use when you have too many thoughts, options, or inputs competing for your attention.</t>
        </is>
      </c>
      <c r="AB28" s="3" t="n"/>
      <c r="AC28" t="inlineStr">
        <is>
          <t>Clarity &amp; Focus</t>
        </is>
      </c>
      <c r="AD28" t="inlineStr">
        <is>
          <t>Transformation</t>
        </is>
      </c>
      <c r="AF28" t="inlineStr">
        <is>
          <t>["Clarity","Focus","Balance"]</t>
        </is>
      </c>
      <c r="AK28" t="b">
        <v>0</v>
      </c>
      <c r="AL28" t="inlineStr">
        <is>
          <t>Unreviewed</t>
        </is>
      </c>
      <c r="AM28" t="inlineStr">
        <is>
          <t>Complete</t>
        </is>
      </c>
      <c r="AN28" t="inlineStr">
        <is>
          <t>Approved</t>
        </is>
      </c>
      <c r="AO28" t="inlineStr">
        <is>
          <t>Complete</t>
        </is>
      </c>
      <c r="AP28" t="inlineStr">
        <is>
          <t>Not Started</t>
        </is>
      </c>
      <c r="AR28" t="inlineStr">
        <is>
          <t>v0.3-2026-06-29</t>
        </is>
      </c>
      <c r="AT28" s="3" t="n"/>
    </row>
    <row r="29">
      <c r="A29" t="inlineStr">
        <is>
          <t>C-0099</t>
        </is>
      </c>
      <c r="B29" t="inlineStr">
        <is>
          <t>Red Jasper</t>
        </is>
      </c>
      <c r="D29" t="inlineStr">
        <is>
          <t>Quartz</t>
        </is>
      </c>
      <c r="E29" t="inlineStr">
        <is>
          <t>Quartz</t>
        </is>
      </c>
      <c r="F29" t="n">
        <v>1</v>
      </c>
      <c r="G29" t="n">
        <v>3</v>
      </c>
      <c r="H29" t="n">
        <v>99</v>
      </c>
      <c r="I29" t="n">
        <v>99</v>
      </c>
      <c r="J29" t="inlineStr">
        <is>
          <t>Red Calcite</t>
        </is>
      </c>
      <c r="K29" t="inlineStr">
        <is>
          <t>red-calcite</t>
        </is>
      </c>
      <c r="L29" t="inlineStr">
        <is>
          <t>Red Tiger's Eye</t>
        </is>
      </c>
      <c r="M29" t="inlineStr">
        <is>
          <t>red-tiger-s-eye</t>
        </is>
      </c>
      <c r="N29" t="b">
        <v>0</v>
      </c>
      <c r="O29" t="inlineStr">
        <is>
          <t>red-jasper</t>
        </is>
      </c>
      <c r="P29" t="inlineStr">
        <is>
          <t>Full Entry Live</t>
        </is>
      </c>
      <c r="Q29" t="inlineStr">
        <is>
          <t>Root</t>
        </is>
      </c>
      <c r="S29" t="inlineStr">
        <is>
          <t>Root</t>
        </is>
      </c>
      <c r="X29" t="inlineStr">
        <is>
          <t>Mineral variety</t>
        </is>
      </c>
      <c r="Z29" s="3" t="inlineStr">
        <is>
          <t>Sustained effort</t>
        </is>
      </c>
      <c r="AA29" s="3" t="inlineStr">
        <is>
          <t>Use when you need steady endurance more than a sudden burst of motivation.</t>
        </is>
      </c>
      <c r="AB29" s="3" t="n"/>
      <c r="AC29" t="inlineStr">
        <is>
          <t>Vitality</t>
        </is>
      </c>
      <c r="AD29" t="inlineStr">
        <is>
          <t>Grounding</t>
        </is>
      </c>
      <c r="AF29" t="inlineStr">
        <is>
          <t>["Grounding","Endurance","Vitality"]</t>
        </is>
      </c>
      <c r="AK29" t="b">
        <v>0</v>
      </c>
      <c r="AL29" t="inlineStr">
        <is>
          <t>Unreviewed</t>
        </is>
      </c>
      <c r="AM29" t="inlineStr">
        <is>
          <t>Complete</t>
        </is>
      </c>
      <c r="AN29" t="inlineStr">
        <is>
          <t>Approved</t>
        </is>
      </c>
      <c r="AO29" t="inlineStr">
        <is>
          <t>Complete</t>
        </is>
      </c>
      <c r="AP29" t="inlineStr">
        <is>
          <t>Not Started</t>
        </is>
      </c>
      <c r="AR29" t="inlineStr">
        <is>
          <t>v0.3-2026-06-29</t>
        </is>
      </c>
      <c r="AT29" s="3" t="n"/>
    </row>
    <row r="30">
      <c r="A30" t="inlineStr">
        <is>
          <t>C-0168</t>
        </is>
      </c>
      <c r="B30" t="inlineStr">
        <is>
          <t>Tiger's Eye</t>
        </is>
      </c>
      <c r="D30" t="inlineStr">
        <is>
          <t>Tiger's Eye</t>
        </is>
      </c>
      <c r="E30" t="inlineStr">
        <is>
          <t>Tiger's Eye</t>
        </is>
      </c>
      <c r="F30" t="n">
        <v>1</v>
      </c>
      <c r="G30" t="n">
        <v>3</v>
      </c>
      <c r="H30" t="n">
        <v>168</v>
      </c>
      <c r="I30" t="n">
        <v>168</v>
      </c>
      <c r="J30" t="inlineStr">
        <is>
          <t>Gold Sheen Obsidian</t>
        </is>
      </c>
      <c r="K30" t="inlineStr">
        <is>
          <t>gold-sheen-obsidian</t>
        </is>
      </c>
      <c r="L30" t="inlineStr">
        <is>
          <t>Golden Healer Quartz</t>
        </is>
      </c>
      <c r="M30" t="inlineStr">
        <is>
          <t>golden-healer-quartz</t>
        </is>
      </c>
      <c r="N30" t="b">
        <v>0</v>
      </c>
      <c r="O30" t="inlineStr">
        <is>
          <t>tigers-eye</t>
        </is>
      </c>
      <c r="P30" t="inlineStr">
        <is>
          <t>Full Entry Live</t>
        </is>
      </c>
      <c r="Q30" t="inlineStr">
        <is>
          <t>Solar Plexus</t>
        </is>
      </c>
      <c r="R30" t="inlineStr">
        <is>
          <t>Root</t>
        </is>
      </c>
      <c r="S30" t="inlineStr">
        <is>
          <t>Solar Plexus</t>
        </is>
      </c>
      <c r="X30" t="inlineStr">
        <is>
          <t>Mineral variety</t>
        </is>
      </c>
      <c r="Z30" s="3" t="inlineStr">
        <is>
          <t>Grounded confidence</t>
        </is>
      </c>
      <c r="AA30" s="3" t="inlineStr">
        <is>
          <t>Use when you need to make a confident decision without becoming reckless or second-guessing yourself.</t>
        </is>
      </c>
      <c r="AB30" s="3" t="n"/>
      <c r="AC30" t="inlineStr">
        <is>
          <t>Grounding</t>
        </is>
      </c>
      <c r="AD30" t="inlineStr">
        <is>
          <t>Confidence</t>
        </is>
      </c>
      <c r="AF30" t="inlineStr">
        <is>
          <t>["Grounding","Confidence","Discernment"]</t>
        </is>
      </c>
      <c r="AK30" t="b">
        <v>0</v>
      </c>
      <c r="AL30" t="inlineStr">
        <is>
          <t>Unreviewed</t>
        </is>
      </c>
      <c r="AM30" t="inlineStr">
        <is>
          <t>Complete</t>
        </is>
      </c>
      <c r="AN30" t="inlineStr">
        <is>
          <t>Approved</t>
        </is>
      </c>
      <c r="AO30" t="inlineStr">
        <is>
          <t>Complete</t>
        </is>
      </c>
      <c r="AP30" t="inlineStr">
        <is>
          <t>Not Started</t>
        </is>
      </c>
      <c r="AR30" t="inlineStr">
        <is>
          <t>v0.3-2026-06-29</t>
        </is>
      </c>
      <c r="AT30" s="3" t="n"/>
    </row>
    <row r="31">
      <c r="A31" t="inlineStr">
        <is>
          <t>C-0060</t>
        </is>
      </c>
      <c r="B31" t="inlineStr">
        <is>
          <t>Unakite</t>
        </is>
      </c>
      <c r="D31" t="inlineStr">
        <is>
          <t>Aggregate</t>
        </is>
      </c>
      <c r="E31" t="inlineStr">
        <is>
          <t>Unakite</t>
        </is>
      </c>
      <c r="F31" t="n">
        <v>1</v>
      </c>
      <c r="G31" t="n">
        <v>3</v>
      </c>
      <c r="H31" t="n">
        <v>60</v>
      </c>
      <c r="I31" t="n">
        <v>60</v>
      </c>
      <c r="J31" t="inlineStr">
        <is>
          <t>Ulexite</t>
        </is>
      </c>
      <c r="K31" t="inlineStr">
        <is>
          <t>ulexite</t>
        </is>
      </c>
      <c r="L31" t="inlineStr">
        <is>
          <t>Unicorn Stone</t>
        </is>
      </c>
      <c r="M31" t="inlineStr">
        <is>
          <t>unicorn-stone</t>
        </is>
      </c>
      <c r="N31" t="b">
        <v>0</v>
      </c>
      <c r="O31" t="inlineStr">
        <is>
          <t>unakite</t>
        </is>
      </c>
      <c r="P31" t="inlineStr">
        <is>
          <t>Full Entry Live</t>
        </is>
      </c>
      <c r="Q31" t="inlineStr">
        <is>
          <t>Heart</t>
        </is>
      </c>
      <c r="S31" t="inlineStr">
        <is>
          <t>Heart</t>
        </is>
      </c>
      <c r="X31" t="inlineStr">
        <is>
          <t>Rock</t>
        </is>
      </c>
      <c r="Z31" s="3" t="inlineStr">
        <is>
          <t>Emotional integration</t>
        </is>
      </c>
      <c r="AA31" s="3" t="inlineStr">
        <is>
          <t>Use when an old experience is still shaping your reactions and you want to respond from the present instead.</t>
        </is>
      </c>
      <c r="AB31" s="3" t="n"/>
      <c r="AC31" t="inlineStr">
        <is>
          <t>Emotional Balance</t>
        </is>
      </c>
      <c r="AD31" t="inlineStr">
        <is>
          <t>Heart Healing</t>
        </is>
      </c>
      <c r="AE31" t="inlineStr">
        <is>
          <t>Grounding</t>
        </is>
      </c>
      <c r="AF31" t="inlineStr">
        <is>
          <t>["Healing","Integration","Grounding"]</t>
        </is>
      </c>
      <c r="AK31" t="b">
        <v>0</v>
      </c>
      <c r="AL31" t="inlineStr">
        <is>
          <t>Unreviewed</t>
        </is>
      </c>
      <c r="AM31" t="inlineStr">
        <is>
          <t>Complete</t>
        </is>
      </c>
      <c r="AN31" t="inlineStr">
        <is>
          <t>Approved</t>
        </is>
      </c>
      <c r="AO31" t="inlineStr">
        <is>
          <t>Complete</t>
        </is>
      </c>
      <c r="AP31" t="inlineStr">
        <is>
          <t>Not Started</t>
        </is>
      </c>
      <c r="AR31" t="inlineStr">
        <is>
          <t>v0.3-2026-06-29</t>
        </is>
      </c>
      <c r="AT31" s="3" t="n"/>
    </row>
    <row r="32">
      <c r="A32" t="inlineStr">
        <is>
          <t>C-9002</t>
        </is>
      </c>
      <c r="B32" t="inlineStr">
        <is>
          <t>Chocolate Calcite</t>
        </is>
      </c>
      <c r="D32" t="inlineStr">
        <is>
          <t>Calcite</t>
        </is>
      </c>
      <c r="E32" t="inlineStr">
        <is>
          <t>Calcite</t>
        </is>
      </c>
      <c r="F32" t="n">
        <v>3</v>
      </c>
      <c r="G32" t="n">
        <v>18</v>
      </c>
      <c r="H32" t="n">
        <v>0</v>
      </c>
      <c r="I32" t="n">
        <v>0</v>
      </c>
      <c r="J32" t="inlineStr">
        <is>
          <t>Chiastolite</t>
        </is>
      </c>
      <c r="K32" t="inlineStr">
        <is>
          <t>chiastolite</t>
        </is>
      </c>
      <c r="L32" t="inlineStr">
        <is>
          <t>Chrysanthemum Stone</t>
        </is>
      </c>
      <c r="M32" t="inlineStr">
        <is>
          <t>chrysanthemum-stone</t>
        </is>
      </c>
      <c r="N32" t="b">
        <v>0</v>
      </c>
      <c r="O32" t="inlineStr">
        <is>
          <t>chocolate-calcite</t>
        </is>
      </c>
      <c r="P32" t="inlineStr">
        <is>
          <t>Not Started</t>
        </is>
      </c>
      <c r="Q32" t="inlineStr">
        <is>
          <t>Root</t>
        </is>
      </c>
      <c r="S32" t="inlineStr">
        <is>
          <t>Root</t>
        </is>
      </c>
      <c r="X32" t="inlineStr">
        <is>
          <t>Mineral</t>
        </is>
      </c>
      <c r="Z32" s="3" t="inlineStr">
        <is>
          <t>Grounded comfort</t>
        </is>
      </c>
      <c r="AA32" s="3" t="inlineStr">
        <is>
          <t>Use when stress has pulled you away from your body and you need something steady, familiar, and uncomplicated.</t>
        </is>
      </c>
      <c r="AB32" s="3" t="n"/>
      <c r="AC32" t="inlineStr">
        <is>
          <t>Grounding</t>
        </is>
      </c>
      <c r="AD32" t="inlineStr">
        <is>
          <t>Vitality</t>
        </is>
      </c>
      <c r="AE32" t="inlineStr">
        <is>
          <t>Confidence</t>
        </is>
      </c>
      <c r="AF32" t="inlineStr">
        <is>
          <t>["Grounding","Stability","Vitality"]</t>
        </is>
      </c>
      <c r="AK32" t="b">
        <v>0</v>
      </c>
      <c r="AL32" t="inlineStr">
        <is>
          <t>Unreviewed</t>
        </is>
      </c>
      <c r="AM32" t="inlineStr">
        <is>
          <t>Not Started</t>
        </is>
      </c>
      <c r="AN32" t="inlineStr">
        <is>
          <t>Not Started</t>
        </is>
      </c>
      <c r="AO32" t="inlineStr">
        <is>
          <t>Not Started</t>
        </is>
      </c>
      <c r="AP32" t="inlineStr">
        <is>
          <t>Not Started</t>
        </is>
      </c>
      <c r="AR32" t="inlineStr">
        <is>
          <t>v0.3-2026-06-29</t>
        </is>
      </c>
      <c r="AT32" s="3" t="n"/>
    </row>
    <row r="33">
      <c r="A33" t="inlineStr">
        <is>
          <t>C-0295</t>
        </is>
      </c>
      <c r="B33" t="inlineStr">
        <is>
          <t>Clear Fluorite</t>
        </is>
      </c>
      <c r="D33" t="inlineStr">
        <is>
          <t>Fluorite</t>
        </is>
      </c>
      <c r="E33" t="inlineStr">
        <is>
          <t>Fluorite</t>
        </is>
      </c>
      <c r="F33" t="n">
        <v>3</v>
      </c>
      <c r="G33" t="n">
        <v>19</v>
      </c>
      <c r="H33" t="n">
        <v>0</v>
      </c>
      <c r="I33" t="n">
        <v>0</v>
      </c>
      <c r="J33" t="inlineStr">
        <is>
          <t>Citrine</t>
        </is>
      </c>
      <c r="K33" t="inlineStr">
        <is>
          <t>citrine</t>
        </is>
      </c>
      <c r="L33" t="inlineStr">
        <is>
          <t>Clear Quartz</t>
        </is>
      </c>
      <c r="M33" t="inlineStr">
        <is>
          <t>clear-quartz</t>
        </is>
      </c>
      <c r="N33" t="b">
        <v>0</v>
      </c>
      <c r="O33" t="inlineStr">
        <is>
          <t>clear-fluorite</t>
        </is>
      </c>
      <c r="P33" t="inlineStr">
        <is>
          <t>Not Started</t>
        </is>
      </c>
      <c r="Q33" t="inlineStr">
        <is>
          <t>Crown</t>
        </is>
      </c>
      <c r="R33" t="inlineStr">
        <is>
          <t>Third Eye</t>
        </is>
      </c>
      <c r="S33" t="inlineStr">
        <is>
          <t>Crown</t>
        </is>
      </c>
      <c r="X33" t="inlineStr">
        <is>
          <t>Mineral</t>
        </is>
      </c>
      <c r="Z33" s="3" t="inlineStr">
        <is>
          <t>Mental simplicity</t>
        </is>
      </c>
      <c r="AA33" s="3" t="inlineStr">
        <is>
          <t>Use when too much information has made a decision feel more complicated than it needs to be.</t>
        </is>
      </c>
      <c r="AB33" s="3" t="n"/>
      <c r="AC33" t="inlineStr">
        <is>
          <t>Clarity &amp; Focus</t>
        </is>
      </c>
      <c r="AD33" t="inlineStr">
        <is>
          <t>Protection</t>
        </is>
      </c>
      <c r="AF33" t="inlineStr">
        <is>
          <t>["Clarity","Focus","Purification"]</t>
        </is>
      </c>
      <c r="AK33" t="b">
        <v>0</v>
      </c>
      <c r="AL33" t="inlineStr">
        <is>
          <t>Unreviewed</t>
        </is>
      </c>
      <c r="AM33" t="inlineStr">
        <is>
          <t>Not Started</t>
        </is>
      </c>
      <c r="AN33" t="inlineStr">
        <is>
          <t>Not Started</t>
        </is>
      </c>
      <c r="AO33" t="inlineStr">
        <is>
          <t>Not Started</t>
        </is>
      </c>
      <c r="AP33" t="inlineStr">
        <is>
          <t>Not Started</t>
        </is>
      </c>
      <c r="AR33" t="inlineStr">
        <is>
          <t>v0.3-2026-06-29</t>
        </is>
      </c>
      <c r="AT33" s="3" t="n"/>
    </row>
    <row r="34">
      <c r="A34" t="inlineStr">
        <is>
          <t>C-0124</t>
        </is>
      </c>
      <c r="B34" t="inlineStr">
        <is>
          <t>Crackle Quartz</t>
        </is>
      </c>
      <c r="C34" t="inlineStr">
        <is>
          <t>Ice Quartz</t>
        </is>
      </c>
      <c r="D34" t="inlineStr">
        <is>
          <t>Quartz</t>
        </is>
      </c>
      <c r="E34" t="inlineStr">
        <is>
          <t>Quartz</t>
        </is>
      </c>
      <c r="F34" t="n">
        <v>3</v>
      </c>
      <c r="G34" t="n">
        <v>19</v>
      </c>
      <c r="H34" t="n">
        <v>124</v>
      </c>
      <c r="I34" t="n">
        <v>124</v>
      </c>
      <c r="J34" t="inlineStr">
        <is>
          <t>Covellite</t>
        </is>
      </c>
      <c r="K34" t="inlineStr">
        <is>
          <t>covellite</t>
        </is>
      </c>
      <c r="L34" t="inlineStr">
        <is>
          <t>Crazy Lace Agate</t>
        </is>
      </c>
      <c r="M34" t="inlineStr">
        <is>
          <t>crazy-lace-agate</t>
        </is>
      </c>
      <c r="N34" t="b">
        <v>0</v>
      </c>
      <c r="O34" t="inlineStr">
        <is>
          <t>crackle-quartz</t>
        </is>
      </c>
      <c r="P34" t="inlineStr">
        <is>
          <t>Not Started</t>
        </is>
      </c>
      <c r="Q34" t="inlineStr">
        <is>
          <t>Crown</t>
        </is>
      </c>
      <c r="S34" t="inlineStr">
        <is>
          <t>Crown</t>
        </is>
      </c>
      <c r="X34" t="inlineStr">
        <is>
          <t>Mineral</t>
        </is>
      </c>
      <c r="Z34" s="3" t="inlineStr">
        <is>
          <t>Pattern release</t>
        </is>
      </c>
      <c r="AA34" s="3" t="inlineStr">
        <is>
          <t>Use when you feel ready to interrupt an old pattern and create space for a different response.</t>
        </is>
      </c>
      <c r="AB34" s="3" t="n"/>
      <c r="AC34" t="inlineStr">
        <is>
          <t>Joy</t>
        </is>
      </c>
      <c r="AF34" t="inlineStr">
        <is>
          <t>["Transformation","Energy","Uplift"]</t>
        </is>
      </c>
      <c r="AK34" t="b">
        <v>0</v>
      </c>
      <c r="AL34" t="inlineStr">
        <is>
          <t>Unreviewed</t>
        </is>
      </c>
      <c r="AM34" t="inlineStr">
        <is>
          <t>Not Started</t>
        </is>
      </c>
      <c r="AN34" t="inlineStr">
        <is>
          <t>Not Started</t>
        </is>
      </c>
      <c r="AO34" t="inlineStr">
        <is>
          <t>Not Started</t>
        </is>
      </c>
      <c r="AP34" t="inlineStr">
        <is>
          <t>Not Started</t>
        </is>
      </c>
      <c r="AR34" t="inlineStr">
        <is>
          <t>v0.3-2026-06-29</t>
        </is>
      </c>
      <c r="AT34" s="3" t="n"/>
    </row>
    <row r="35">
      <c r="A35" t="inlineStr">
        <is>
          <t>C-0073</t>
        </is>
      </c>
      <c r="B35" t="inlineStr">
        <is>
          <t>Druzy Agate</t>
        </is>
      </c>
      <c r="D35" t="inlineStr">
        <is>
          <t>Quartz</t>
        </is>
      </c>
      <c r="E35" t="inlineStr">
        <is>
          <t>Quartz</t>
        </is>
      </c>
      <c r="F35" t="n">
        <v>3</v>
      </c>
      <c r="G35" t="n">
        <v>19</v>
      </c>
      <c r="H35" t="n">
        <v>73</v>
      </c>
      <c r="I35" t="n">
        <v>73</v>
      </c>
      <c r="J35" t="inlineStr">
        <is>
          <t>Dream Quartz</t>
        </is>
      </c>
      <c r="K35" t="inlineStr">
        <is>
          <t>dream-quartz</t>
        </is>
      </c>
      <c r="L35" t="inlineStr">
        <is>
          <t>Dumortierite</t>
        </is>
      </c>
      <c r="M35" t="inlineStr">
        <is>
          <t>dumortierite</t>
        </is>
      </c>
      <c r="N35" t="b">
        <v>0</v>
      </c>
      <c r="O35" t="inlineStr">
        <is>
          <t>druzy-agate</t>
        </is>
      </c>
      <c r="P35" t="inlineStr">
        <is>
          <t>Not Started</t>
        </is>
      </c>
      <c r="Q35" t="inlineStr">
        <is>
          <t>Crown</t>
        </is>
      </c>
      <c r="S35" t="inlineStr">
        <is>
          <t>Crown</t>
        </is>
      </c>
      <c r="X35" t="inlineStr">
        <is>
          <t>Mineral</t>
        </is>
      </c>
      <c r="Z35" s="3" t="inlineStr">
        <is>
          <t>Renewed possibility</t>
        </is>
      </c>
      <c r="AA35" s="3" t="inlineStr">
        <is>
          <t>Use when your attention has narrowed around problems and you need help noticing what is still open, beautiful, or unfinished.</t>
        </is>
      </c>
      <c r="AB35" s="3" t="n"/>
      <c r="AC35" t="inlineStr">
        <is>
          <t>Amplification</t>
        </is>
      </c>
      <c r="AD35" t="inlineStr">
        <is>
          <t>Clarity &amp; Focus</t>
        </is>
      </c>
      <c r="AF35" t="inlineStr">
        <is>
          <t>["Amplification","Joy","Clarity"]</t>
        </is>
      </c>
      <c r="AK35" t="b">
        <v>0</v>
      </c>
      <c r="AL35" t="inlineStr">
        <is>
          <t>Unreviewed</t>
        </is>
      </c>
      <c r="AM35" t="inlineStr">
        <is>
          <t>Not Started</t>
        </is>
      </c>
      <c r="AN35" t="inlineStr">
        <is>
          <t>Not Started</t>
        </is>
      </c>
      <c r="AO35" t="inlineStr">
        <is>
          <t>Not Started</t>
        </is>
      </c>
      <c r="AP35" t="inlineStr">
        <is>
          <t>Not Started</t>
        </is>
      </c>
      <c r="AR35" t="inlineStr">
        <is>
          <t>v0.3-2026-06-29</t>
        </is>
      </c>
      <c r="AT35" s="3" t="n"/>
    </row>
    <row r="36">
      <c r="A36" t="inlineStr">
        <is>
          <t>C-0125</t>
        </is>
      </c>
      <c r="B36" t="inlineStr">
        <is>
          <t>Milky Quartz</t>
        </is>
      </c>
      <c r="D36" t="inlineStr">
        <is>
          <t>Quartz</t>
        </is>
      </c>
      <c r="E36" t="inlineStr">
        <is>
          <t>Quartz</t>
        </is>
      </c>
      <c r="F36" t="n">
        <v>3</v>
      </c>
      <c r="G36" t="n">
        <v>23</v>
      </c>
      <c r="H36" t="n">
        <v>125</v>
      </c>
      <c r="I36" t="n">
        <v>125</v>
      </c>
      <c r="J36" t="inlineStr">
        <is>
          <t>Meteorite</t>
        </is>
      </c>
      <c r="K36" t="inlineStr">
        <is>
          <t>meteorite</t>
        </is>
      </c>
      <c r="L36" t="inlineStr">
        <is>
          <t>Moldavite</t>
        </is>
      </c>
      <c r="M36" t="inlineStr">
        <is>
          <t>moldavite</t>
        </is>
      </c>
      <c r="N36" t="b">
        <v>0</v>
      </c>
      <c r="O36" t="inlineStr">
        <is>
          <t>milky-quartz</t>
        </is>
      </c>
      <c r="P36" t="inlineStr">
        <is>
          <t>Not Started</t>
        </is>
      </c>
      <c r="Q36" t="inlineStr">
        <is>
          <t>Crown</t>
        </is>
      </c>
      <c r="S36" t="inlineStr">
        <is>
          <t>Crown</t>
        </is>
      </c>
      <c r="X36" t="inlineStr">
        <is>
          <t>Mineral</t>
        </is>
      </c>
      <c r="Z36" s="3" t="inlineStr">
        <is>
          <t>Gentle steadiness</t>
        </is>
      </c>
      <c r="AA36" s="3" t="inlineStr">
        <is>
          <t>Use when you need quiet support but do not want an intense or highly stimulating stone.</t>
        </is>
      </c>
      <c r="AB36" s="3" t="n"/>
      <c r="AC36" t="inlineStr">
        <is>
          <t>Calm &amp; Peace</t>
        </is>
      </c>
      <c r="AD36" t="inlineStr">
        <is>
          <t>Clarity &amp; Focus</t>
        </is>
      </c>
      <c r="AF36" t="inlineStr">
        <is>
          <t>["Calm","Clarity","Stability"]</t>
        </is>
      </c>
      <c r="AK36" t="b">
        <v>0</v>
      </c>
      <c r="AL36" t="inlineStr">
        <is>
          <t>Unreviewed</t>
        </is>
      </c>
      <c r="AM36" t="inlineStr">
        <is>
          <t>Not Started</t>
        </is>
      </c>
      <c r="AN36" t="inlineStr">
        <is>
          <t>Not Started</t>
        </is>
      </c>
      <c r="AO36" t="inlineStr">
        <is>
          <t>Not Started</t>
        </is>
      </c>
      <c r="AP36" t="inlineStr">
        <is>
          <t>Not Started</t>
        </is>
      </c>
      <c r="AR36" t="inlineStr">
        <is>
          <t>v0.3-2026-06-29</t>
        </is>
      </c>
      <c r="AT36" s="3" t="n"/>
    </row>
    <row r="37">
      <c r="A37" t="inlineStr">
        <is>
          <t>C-0179</t>
        </is>
      </c>
      <c r="B37" t="inlineStr">
        <is>
          <t>Pink Aventurine</t>
        </is>
      </c>
      <c r="D37" t="inlineStr">
        <is>
          <t>Aventurine</t>
        </is>
      </c>
      <c r="E37" t="inlineStr">
        <is>
          <t>Aventurine</t>
        </is>
      </c>
      <c r="F37" t="n">
        <v>3</v>
      </c>
      <c r="G37" t="n">
        <v>24</v>
      </c>
      <c r="H37" t="n">
        <v>179</v>
      </c>
      <c r="I37" t="n">
        <v>179</v>
      </c>
      <c r="J37" t="inlineStr">
        <is>
          <t>Pink Aragonite</t>
        </is>
      </c>
      <c r="K37" t="inlineStr">
        <is>
          <t>pink-aragonite</t>
        </is>
      </c>
      <c r="L37" t="inlineStr">
        <is>
          <t>Pink Chalcedony</t>
        </is>
      </c>
      <c r="M37" t="inlineStr">
        <is>
          <t>pink-chalcedony</t>
        </is>
      </c>
      <c r="N37" t="b">
        <v>0</v>
      </c>
      <c r="O37" t="inlineStr">
        <is>
          <t>pink-aventurine</t>
        </is>
      </c>
      <c r="P37" t="inlineStr">
        <is>
          <t>Not Started</t>
        </is>
      </c>
      <c r="Q37" t="inlineStr">
        <is>
          <t>Heart</t>
        </is>
      </c>
      <c r="S37" t="inlineStr">
        <is>
          <t>Heart</t>
        </is>
      </c>
      <c r="X37" t="inlineStr">
        <is>
          <t>Rock</t>
        </is>
      </c>
      <c r="Z37" s="3" t="inlineStr">
        <is>
          <t>Encouraged confidence</t>
        </is>
      </c>
      <c r="AA37" s="3" t="inlineStr">
        <is>
          <t>Use when you need motivation but respond better to encouragement than pressure.</t>
        </is>
      </c>
      <c r="AB37" s="3" t="n"/>
      <c r="AC37" t="inlineStr">
        <is>
          <t>Grounding</t>
        </is>
      </c>
      <c r="AD37" t="inlineStr">
        <is>
          <t>Calm &amp; Peace</t>
        </is>
      </c>
      <c r="AF37" t="inlineStr">
        <is>
          <t>["Confidence","Compassion","Motivation"]</t>
        </is>
      </c>
      <c r="AK37" t="b">
        <v>0</v>
      </c>
      <c r="AL37" t="inlineStr">
        <is>
          <t>Unreviewed</t>
        </is>
      </c>
      <c r="AM37" t="inlineStr">
        <is>
          <t>Not Started</t>
        </is>
      </c>
      <c r="AN37" t="inlineStr">
        <is>
          <t>Not Started</t>
        </is>
      </c>
      <c r="AO37" t="inlineStr">
        <is>
          <t>Not Started</t>
        </is>
      </c>
      <c r="AP37" t="inlineStr">
        <is>
          <t>Not Started</t>
        </is>
      </c>
      <c r="AR37" t="inlineStr">
        <is>
          <t>v0.3-2026-06-29</t>
        </is>
      </c>
      <c r="AT37" s="3" t="n"/>
    </row>
    <row r="38">
      <c r="A38" t="inlineStr">
        <is>
          <t>C-0033</t>
        </is>
      </c>
      <c r="B38" t="inlineStr">
        <is>
          <t>Pink Fluorite</t>
        </is>
      </c>
      <c r="D38" t="inlineStr">
        <is>
          <t>Fluorite</t>
        </is>
      </c>
      <c r="E38" t="inlineStr">
        <is>
          <t>Fluorite</t>
        </is>
      </c>
      <c r="F38" t="n">
        <v>3</v>
      </c>
      <c r="G38" t="n">
        <v>24</v>
      </c>
      <c r="H38" t="n">
        <v>33</v>
      </c>
      <c r="I38" t="n">
        <v>33</v>
      </c>
      <c r="J38" t="inlineStr">
        <is>
          <t>Pink Chalcedony</t>
        </is>
      </c>
      <c r="K38" t="inlineStr">
        <is>
          <t>pink-chalcedony</t>
        </is>
      </c>
      <c r="L38" t="inlineStr">
        <is>
          <t>Pink Halite</t>
        </is>
      </c>
      <c r="M38" t="inlineStr">
        <is>
          <t>pink-halite</t>
        </is>
      </c>
      <c r="N38" t="b">
        <v>0</v>
      </c>
      <c r="O38" t="inlineStr">
        <is>
          <t>pink-fluorite</t>
        </is>
      </c>
      <c r="P38" t="inlineStr">
        <is>
          <t>Not Started</t>
        </is>
      </c>
      <c r="Q38" t="inlineStr">
        <is>
          <t>Heart</t>
        </is>
      </c>
      <c r="R38" t="inlineStr">
        <is>
          <t>Crown</t>
        </is>
      </c>
      <c r="S38" t="inlineStr">
        <is>
          <t>Heart</t>
        </is>
      </c>
      <c r="X38" t="inlineStr">
        <is>
          <t>Mineral</t>
        </is>
      </c>
      <c r="Z38" s="3" t="inlineStr">
        <is>
          <t>Compassionate perspective</t>
        </is>
      </c>
      <c r="AA38" s="3" t="inlineStr">
        <is>
          <t>Use when you need to understand an emotional situation clearly without hardening yourself against it.</t>
        </is>
      </c>
      <c r="AB38" s="3" t="n"/>
      <c r="AC38" t="inlineStr">
        <is>
          <t>Emotional Balance</t>
        </is>
      </c>
      <c r="AD38" t="inlineStr">
        <is>
          <t>Self-Love</t>
        </is>
      </c>
      <c r="AF38" t="inlineStr">
        <is>
          <t>["Compassion","Clarity","Balance"]</t>
        </is>
      </c>
      <c r="AK38" t="b">
        <v>0</v>
      </c>
      <c r="AL38" t="inlineStr">
        <is>
          <t>Unreviewed</t>
        </is>
      </c>
      <c r="AM38" t="inlineStr">
        <is>
          <t>Not Started</t>
        </is>
      </c>
      <c r="AN38" t="inlineStr">
        <is>
          <t>Not Started</t>
        </is>
      </c>
      <c r="AO38" t="inlineStr">
        <is>
          <t>Not Started</t>
        </is>
      </c>
      <c r="AP38" t="inlineStr">
        <is>
          <t>Not Started</t>
        </is>
      </c>
      <c r="AR38" t="inlineStr">
        <is>
          <t>v0.3-2026-06-29</t>
        </is>
      </c>
      <c r="AT38" s="3" t="n"/>
    </row>
    <row r="39">
      <c r="A39" t="inlineStr">
        <is>
          <t>C-0180</t>
        </is>
      </c>
      <c r="B39" t="inlineStr">
        <is>
          <t>Red Aventurine</t>
        </is>
      </c>
      <c r="D39" t="inlineStr">
        <is>
          <t>Aventurine</t>
        </is>
      </c>
      <c r="E39" t="inlineStr">
        <is>
          <t>Aventurine</t>
        </is>
      </c>
      <c r="F39" t="n">
        <v>3</v>
      </c>
      <c r="G39" t="n">
        <v>24</v>
      </c>
      <c r="H39" t="n">
        <v>180</v>
      </c>
      <c r="I39" t="n">
        <v>180</v>
      </c>
      <c r="J39" t="inlineStr">
        <is>
          <t>Rainbow Obsidian</t>
        </is>
      </c>
      <c r="K39" t="inlineStr">
        <is>
          <t>rainbow-obsidian</t>
        </is>
      </c>
      <c r="L39" t="inlineStr">
        <is>
          <t>Red Calcite</t>
        </is>
      </c>
      <c r="M39" t="inlineStr">
        <is>
          <t>red-calcite</t>
        </is>
      </c>
      <c r="N39" t="b">
        <v>0</v>
      </c>
      <c r="O39" t="inlineStr">
        <is>
          <t>red-aventurine</t>
        </is>
      </c>
      <c r="P39" t="inlineStr">
        <is>
          <t>Not Started</t>
        </is>
      </c>
      <c r="Q39" t="inlineStr">
        <is>
          <t>Sacral</t>
        </is>
      </c>
      <c r="R39" t="inlineStr">
        <is>
          <t>Root</t>
        </is>
      </c>
      <c r="S39" t="inlineStr">
        <is>
          <t>Sacral</t>
        </is>
      </c>
      <c r="X39" t="inlineStr">
        <is>
          <t>Rock</t>
        </is>
      </c>
      <c r="Z39" s="3" t="inlineStr">
        <is>
          <t>Persistent action</t>
        </is>
      </c>
      <c r="AA39" s="3" t="inlineStr">
        <is>
          <t>Use when you need motivation that will last beyond the excitement of starting.</t>
        </is>
      </c>
      <c r="AB39" s="3" t="n"/>
      <c r="AC39" t="inlineStr">
        <is>
          <t>Grounding</t>
        </is>
      </c>
      <c r="AD39" t="inlineStr">
        <is>
          <t>Vitality</t>
        </is>
      </c>
      <c r="AF39" t="inlineStr">
        <is>
          <t>["Motivation","Endurance","Vitality"]</t>
        </is>
      </c>
      <c r="AK39" t="b">
        <v>0</v>
      </c>
      <c r="AL39" t="inlineStr">
        <is>
          <t>Unreviewed</t>
        </is>
      </c>
      <c r="AM39" t="inlineStr">
        <is>
          <t>Not Started</t>
        </is>
      </c>
      <c r="AN39" t="inlineStr">
        <is>
          <t>Not Started</t>
        </is>
      </c>
      <c r="AO39" t="inlineStr">
        <is>
          <t>Not Started</t>
        </is>
      </c>
      <c r="AP39" t="inlineStr">
        <is>
          <t>Not Started</t>
        </is>
      </c>
      <c r="AR39" t="inlineStr">
        <is>
          <t>v0.3-2026-06-29</t>
        </is>
      </c>
      <c r="AT39" s="3" t="n"/>
    </row>
    <row r="40">
      <c r="A40" t="inlineStr">
        <is>
          <t>C-0365</t>
        </is>
      </c>
      <c r="B40" t="inlineStr">
        <is>
          <t>Super Seven</t>
        </is>
      </c>
      <c r="C40" t="inlineStr">
        <is>
          <t>Melody Stone; Sacred Seven</t>
        </is>
      </c>
      <c r="D40" t="inlineStr">
        <is>
          <t>Quartz</t>
        </is>
      </c>
      <c r="E40" t="inlineStr">
        <is>
          <t>Quartz + Inclusions</t>
        </is>
      </c>
      <c r="F40" t="n">
        <v>3</v>
      </c>
      <c r="G40" t="n">
        <v>26</v>
      </c>
      <c r="H40" t="n">
        <v>0</v>
      </c>
      <c r="I40" t="n">
        <v>0</v>
      </c>
      <c r="J40" t="inlineStr">
        <is>
          <t>Sunstone</t>
        </is>
      </c>
      <c r="K40" t="inlineStr">
        <is>
          <t>sunstone</t>
        </is>
      </c>
      <c r="L40" t="inlineStr">
        <is>
          <t>Tangerine Quartz</t>
        </is>
      </c>
      <c r="M40" t="inlineStr">
        <is>
          <t>tangerine-quartz</t>
        </is>
      </c>
      <c r="N40" t="b">
        <v>0</v>
      </c>
      <c r="O40" t="inlineStr">
        <is>
          <t>super-seven</t>
        </is>
      </c>
      <c r="P40" t="inlineStr">
        <is>
          <t>Not Started</t>
        </is>
      </c>
      <c r="Q40" t="inlineStr">
        <is>
          <t>Crown</t>
        </is>
      </c>
      <c r="S40" t="inlineStr">
        <is>
          <t>Crown</t>
        </is>
      </c>
      <c r="X40" t="inlineStr">
        <is>
          <t>Mineral</t>
        </is>
      </c>
      <c r="Z40" s="3" t="inlineStr">
        <is>
          <t>Energetic integration</t>
        </is>
      </c>
      <c r="AA40" s="3" t="inlineStr">
        <is>
          <t>Use when you are processing several emotions, insights, or energetic influences at the same time.</t>
        </is>
      </c>
      <c r="AB40" s="3" t="n"/>
      <c r="AC40" t="inlineStr">
        <is>
          <t>Amplification</t>
        </is>
      </c>
      <c r="AD40" t="inlineStr">
        <is>
          <t>Spiritual Connection</t>
        </is>
      </c>
      <c r="AF40" t="inlineStr">
        <is>
          <t>["Amplification","Integration","Intuition"]</t>
        </is>
      </c>
      <c r="AK40" t="b">
        <v>0</v>
      </c>
      <c r="AL40" t="inlineStr">
        <is>
          <t>Unreviewed</t>
        </is>
      </c>
      <c r="AM40" t="inlineStr">
        <is>
          <t>Not Started</t>
        </is>
      </c>
      <c r="AN40" t="inlineStr">
        <is>
          <t>Not Started</t>
        </is>
      </c>
      <c r="AO40" t="inlineStr">
        <is>
          <t>Not Started</t>
        </is>
      </c>
      <c r="AP40" t="inlineStr">
        <is>
          <t>Not Started</t>
        </is>
      </c>
      <c r="AR40" t="inlineStr">
        <is>
          <t>v0.3-2026-06-29</t>
        </is>
      </c>
      <c r="AT40" s="3" t="n"/>
    </row>
    <row r="41">
      <c r="A41" t="inlineStr">
        <is>
          <t>C-0086</t>
        </is>
      </c>
      <c r="B41" t="inlineStr">
        <is>
          <t>White Chalcedony</t>
        </is>
      </c>
      <c r="D41" t="inlineStr">
        <is>
          <t>Quartz</t>
        </is>
      </c>
      <c r="E41" t="inlineStr">
        <is>
          <t>Quartz</t>
        </is>
      </c>
      <c r="F41" t="n">
        <v>3</v>
      </c>
      <c r="G41" t="n">
        <v>28</v>
      </c>
      <c r="H41" t="n">
        <v>86</v>
      </c>
      <c r="I41" t="n">
        <v>86</v>
      </c>
      <c r="J41" t="inlineStr">
        <is>
          <t>Watermelon Tourmaline</t>
        </is>
      </c>
      <c r="K41" t="inlineStr">
        <is>
          <t>watermelon-tourmaline</t>
        </is>
      </c>
      <c r="L41" t="inlineStr">
        <is>
          <t>White Dolomite</t>
        </is>
      </c>
      <c r="M41" t="inlineStr">
        <is>
          <t>white-dolomite</t>
        </is>
      </c>
      <c r="N41" t="b">
        <v>0</v>
      </c>
      <c r="O41" t="inlineStr">
        <is>
          <t>white-chalcedony</t>
        </is>
      </c>
      <c r="P41" t="inlineStr">
        <is>
          <t>Not Started</t>
        </is>
      </c>
      <c r="Q41" t="inlineStr">
        <is>
          <t>Crown</t>
        </is>
      </c>
      <c r="R41" t="inlineStr">
        <is>
          <t>Throat</t>
        </is>
      </c>
      <c r="S41" t="inlineStr">
        <is>
          <t>Crown</t>
        </is>
      </c>
      <c r="X41" t="inlineStr">
        <is>
          <t>Mineral</t>
        </is>
      </c>
      <c r="Z41" s="3" t="inlineStr">
        <is>
          <t>Calm neutrality</t>
        </is>
      </c>
      <c r="AA41" s="3" t="inlineStr">
        <is>
          <t>Use when you need a pause between what happened and the meaning you are about to assign to it.</t>
        </is>
      </c>
      <c r="AB41" s="3" t="n"/>
      <c r="AC41" t="inlineStr">
        <is>
          <t>Clarity &amp; Focus</t>
        </is>
      </c>
      <c r="AD41" t="inlineStr">
        <is>
          <t>Calm &amp; Peace</t>
        </is>
      </c>
      <c r="AF41" t="inlineStr">
        <is>
          <t>["Calm","Clarity","Peace"]</t>
        </is>
      </c>
      <c r="AK41" t="b">
        <v>0</v>
      </c>
      <c r="AL41" t="inlineStr">
        <is>
          <t>Unreviewed</t>
        </is>
      </c>
      <c r="AM41" t="inlineStr">
        <is>
          <t>Not Started</t>
        </is>
      </c>
      <c r="AN41" t="inlineStr">
        <is>
          <t>Not Started</t>
        </is>
      </c>
      <c r="AO41" t="inlineStr">
        <is>
          <t>Not Started</t>
        </is>
      </c>
      <c r="AP41" t="inlineStr">
        <is>
          <t>Not Started</t>
        </is>
      </c>
      <c r="AR41" t="inlineStr">
        <is>
          <t>v0.3-2026-06-29</t>
        </is>
      </c>
      <c r="AT41" s="3" t="n"/>
    </row>
    <row r="42">
      <c r="A42" t="inlineStr">
        <is>
          <t>C-0176</t>
        </is>
      </c>
      <c r="B42" t="inlineStr">
        <is>
          <t>White Dolomite</t>
        </is>
      </c>
      <c r="D42" t="inlineStr">
        <is>
          <t>Carbonates</t>
        </is>
      </c>
      <c r="E42" t="inlineStr">
        <is>
          <t>Dolomite</t>
        </is>
      </c>
      <c r="F42" t="n">
        <v>3</v>
      </c>
      <c r="G42" t="n">
        <v>28</v>
      </c>
      <c r="H42" t="n">
        <v>176</v>
      </c>
      <c r="I42" t="n">
        <v>176</v>
      </c>
      <c r="J42" t="inlineStr">
        <is>
          <t>White Chalcedony</t>
        </is>
      </c>
      <c r="K42" t="inlineStr">
        <is>
          <t>white-chalcedony</t>
        </is>
      </c>
      <c r="L42" t="inlineStr">
        <is>
          <t>White Heulandite</t>
        </is>
      </c>
      <c r="M42" t="inlineStr">
        <is>
          <t>white-heulandite</t>
        </is>
      </c>
      <c r="N42" t="b">
        <v>0</v>
      </c>
      <c r="O42" t="inlineStr">
        <is>
          <t>white-dolomite</t>
        </is>
      </c>
      <c r="P42" t="inlineStr">
        <is>
          <t>Not Started</t>
        </is>
      </c>
      <c r="Q42" t="inlineStr">
        <is>
          <t>Crown</t>
        </is>
      </c>
      <c r="R42" t="inlineStr">
        <is>
          <t>Root</t>
        </is>
      </c>
      <c r="S42" t="inlineStr">
        <is>
          <t>Crown</t>
        </is>
      </c>
      <c r="X42" t="inlineStr">
        <is>
          <t>Mineral</t>
        </is>
      </c>
      <c r="Z42" s="3" t="inlineStr">
        <is>
          <t>Gentle support</t>
        </is>
      </c>
      <c r="AA42" s="3" t="inlineStr">
        <is>
          <t>Use when you are exhausted from trying to manage everything alone and need permission to soften your grip.</t>
        </is>
      </c>
      <c r="AB42" s="3" t="n"/>
      <c r="AC42" t="inlineStr">
        <is>
          <t>Grounding</t>
        </is>
      </c>
      <c r="AD42" t="inlineStr">
        <is>
          <t>Calm &amp; Peace</t>
        </is>
      </c>
      <c r="AF42" t="inlineStr">
        <is>
          <t>["Calm","Grounding","Acceptance"]</t>
        </is>
      </c>
      <c r="AK42" t="b">
        <v>0</v>
      </c>
      <c r="AL42" t="inlineStr">
        <is>
          <t>Unreviewed</t>
        </is>
      </c>
      <c r="AM42" t="inlineStr">
        <is>
          <t>Not Started</t>
        </is>
      </c>
      <c r="AN42" t="inlineStr">
        <is>
          <t>Not Started</t>
        </is>
      </c>
      <c r="AO42" t="inlineStr">
        <is>
          <t>Not Started</t>
        </is>
      </c>
      <c r="AP42" t="inlineStr">
        <is>
          <t>Not Started</t>
        </is>
      </c>
      <c r="AR42" t="inlineStr">
        <is>
          <t>v0.3-2026-06-29</t>
        </is>
      </c>
      <c r="AT42" s="3" t="n"/>
    </row>
    <row r="43">
      <c r="A43" t="inlineStr">
        <is>
          <t>C-0036</t>
        </is>
      </c>
      <c r="B43" t="inlineStr">
        <is>
          <t>Yellow Fluorite</t>
        </is>
      </c>
      <c r="D43" t="inlineStr">
        <is>
          <t>Fluorite</t>
        </is>
      </c>
      <c r="E43" t="inlineStr">
        <is>
          <t>Fluorite</t>
        </is>
      </c>
      <c r="F43" t="n">
        <v>3</v>
      </c>
      <c r="G43" t="n">
        <v>28</v>
      </c>
      <c r="H43" t="n">
        <v>36</v>
      </c>
      <c r="I43" t="n">
        <v>36</v>
      </c>
      <c r="J43" t="inlineStr">
        <is>
          <t>Yellow Apatite</t>
        </is>
      </c>
      <c r="K43" t="inlineStr">
        <is>
          <t>yellow-apatite</t>
        </is>
      </c>
      <c r="L43" t="inlineStr">
        <is>
          <t>Yellow Jasper</t>
        </is>
      </c>
      <c r="M43" t="inlineStr">
        <is>
          <t>yellow-jasper</t>
        </is>
      </c>
      <c r="N43" t="b">
        <v>0</v>
      </c>
      <c r="O43" t="inlineStr">
        <is>
          <t>yellow-fluorite</t>
        </is>
      </c>
      <c r="P43" t="inlineStr">
        <is>
          <t>Not Started</t>
        </is>
      </c>
      <c r="Q43" t="inlineStr">
        <is>
          <t>Solar Plexus</t>
        </is>
      </c>
      <c r="S43" t="inlineStr">
        <is>
          <t>Solar Plexus</t>
        </is>
      </c>
      <c r="X43" t="inlineStr">
        <is>
          <t>Mineral</t>
        </is>
      </c>
      <c r="Z43" s="3" t="inlineStr">
        <is>
          <t>Confident focus</t>
        </is>
      </c>
      <c r="AA43" s="3" t="inlineStr">
        <is>
          <t>Use when you understand the task but doubt your ability to complete it well.</t>
        </is>
      </c>
      <c r="AB43" s="3" t="n"/>
      <c r="AC43" t="inlineStr">
        <is>
          <t>Clarity &amp; Focus</t>
        </is>
      </c>
      <c r="AD43" t="inlineStr">
        <is>
          <t>Joy</t>
        </is>
      </c>
      <c r="AF43" t="inlineStr">
        <is>
          <t>["Focus","Confidence","Clarity"]</t>
        </is>
      </c>
      <c r="AK43" t="b">
        <v>0</v>
      </c>
      <c r="AL43" t="inlineStr">
        <is>
          <t>Unreviewed</t>
        </is>
      </c>
      <c r="AM43" t="inlineStr">
        <is>
          <t>Not Started</t>
        </is>
      </c>
      <c r="AN43" t="inlineStr">
        <is>
          <t>Not Started</t>
        </is>
      </c>
      <c r="AO43" t="inlineStr">
        <is>
          <t>Not Started</t>
        </is>
      </c>
      <c r="AP43" t="inlineStr">
        <is>
          <t>Not Started</t>
        </is>
      </c>
      <c r="AR43" t="inlineStr">
        <is>
          <t>v0.3-2026-06-29</t>
        </is>
      </c>
      <c r="AT43" s="3" t="n"/>
    </row>
    <row r="44">
      <c r="A44" t="inlineStr">
        <is>
          <t>C-0145</t>
        </is>
      </c>
      <c r="B44" t="inlineStr">
        <is>
          <t>Amber</t>
        </is>
      </c>
      <c r="D44" t="inlineStr">
        <is>
          <t>Organic Material</t>
        </is>
      </c>
      <c r="E44" t="inlineStr">
        <is>
          <t>Amber</t>
        </is>
      </c>
      <c r="F44" t="n">
        <v>2</v>
      </c>
      <c r="G44" t="n">
        <v>4</v>
      </c>
      <c r="H44" t="n">
        <v>145</v>
      </c>
      <c r="I44" t="n">
        <v>145</v>
      </c>
      <c r="J44" t="inlineStr">
        <is>
          <t>Amazonite</t>
        </is>
      </c>
      <c r="K44" t="inlineStr">
        <is>
          <t>amazonite</t>
        </is>
      </c>
      <c r="L44" t="inlineStr">
        <is>
          <t>Amblygonite</t>
        </is>
      </c>
      <c r="M44" t="inlineStr">
        <is>
          <t>amblygonite</t>
        </is>
      </c>
      <c r="N44" t="b">
        <v>0</v>
      </c>
      <c r="O44" t="inlineStr">
        <is>
          <t>amber</t>
        </is>
      </c>
      <c r="P44" t="inlineStr">
        <is>
          <t>Not Started</t>
        </is>
      </c>
      <c r="Q44" t="inlineStr">
        <is>
          <t>Solar Plexus</t>
        </is>
      </c>
      <c r="R44" t="inlineStr">
        <is>
          <t>Sacral</t>
        </is>
      </c>
      <c r="S44" t="inlineStr">
        <is>
          <t>Solar Plexus</t>
        </is>
      </c>
      <c r="X44" t="inlineStr">
        <is>
          <t>Organic material</t>
        </is>
      </c>
      <c r="Z44" s="3" t="inlineStr">
        <is>
          <t>Protective warmth</t>
        </is>
      </c>
      <c r="AA44" s="3" t="inlineStr">
        <is>
          <t>Use when you need comfort, steadiness, and a reminder that something meaningful can endure transformation.</t>
        </is>
      </c>
      <c r="AB44" s="3" t="n"/>
      <c r="AC44" t="inlineStr">
        <is>
          <t>Calm &amp; Peace</t>
        </is>
      </c>
      <c r="AF44" t="inlineStr">
        <is>
          <t>["Protection","Vitality","Healing"]</t>
        </is>
      </c>
      <c r="AK44" t="b">
        <v>0</v>
      </c>
      <c r="AL44" t="inlineStr">
        <is>
          <t>Unreviewed</t>
        </is>
      </c>
      <c r="AM44" t="inlineStr">
        <is>
          <t>Not Started</t>
        </is>
      </c>
      <c r="AN44" t="inlineStr">
        <is>
          <t>Not Started</t>
        </is>
      </c>
      <c r="AO44" t="inlineStr">
        <is>
          <t>Not Started</t>
        </is>
      </c>
      <c r="AP44" t="inlineStr">
        <is>
          <t>Not Started</t>
        </is>
      </c>
      <c r="AR44" t="inlineStr">
        <is>
          <t>v0.3-2026-06-29</t>
        </is>
      </c>
      <c r="AT44" s="3" t="n"/>
    </row>
    <row r="45">
      <c r="A45" t="inlineStr">
        <is>
          <t>C-0147</t>
        </is>
      </c>
      <c r="B45" t="inlineStr">
        <is>
          <t>Ammonite</t>
        </is>
      </c>
      <c r="D45" t="inlineStr">
        <is>
          <t>Fossil Material</t>
        </is>
      </c>
      <c r="E45" t="inlineStr">
        <is>
          <t>Ammonite</t>
        </is>
      </c>
      <c r="F45" t="n">
        <v>2</v>
      </c>
      <c r="G45" t="n">
        <v>4</v>
      </c>
      <c r="H45" t="n">
        <v>147</v>
      </c>
      <c r="I45" t="n">
        <v>147</v>
      </c>
      <c r="J45" t="inlineStr">
        <is>
          <t>Ammolite</t>
        </is>
      </c>
      <c r="K45" t="inlineStr">
        <is>
          <t>ammolite</t>
        </is>
      </c>
      <c r="L45" t="inlineStr">
        <is>
          <t>Andalusite</t>
        </is>
      </c>
      <c r="M45" t="inlineStr">
        <is>
          <t>andalusite</t>
        </is>
      </c>
      <c r="N45" t="b">
        <v>0</v>
      </c>
      <c r="O45" t="inlineStr">
        <is>
          <t>ammonite</t>
        </is>
      </c>
      <c r="P45" t="inlineStr">
        <is>
          <t>Not Started</t>
        </is>
      </c>
      <c r="Q45" t="inlineStr">
        <is>
          <t>Root</t>
        </is>
      </c>
      <c r="R45" t="inlineStr">
        <is>
          <t>Third Eye</t>
        </is>
      </c>
      <c r="S45" t="inlineStr">
        <is>
          <t>Root</t>
        </is>
      </c>
      <c r="X45" t="inlineStr">
        <is>
          <t>Fossil</t>
        </is>
      </c>
      <c r="Z45" s="3" t="inlineStr">
        <is>
          <t>Evolutionary perspective</t>
        </is>
      </c>
      <c r="AA45" s="3" t="inlineStr">
        <is>
          <t>Use when you are revisiting familiar territory and need to recognize how much you have changed since the last time.</t>
        </is>
      </c>
      <c r="AB45" s="3" t="n"/>
      <c r="AC45" t="inlineStr">
        <is>
          <t>Spiritual Connection</t>
        </is>
      </c>
      <c r="AD45" t="inlineStr">
        <is>
          <t>Transformation</t>
        </is>
      </c>
      <c r="AF45" t="inlineStr">
        <is>
          <t>["Transformation","Growth","Grounding"]</t>
        </is>
      </c>
      <c r="AK45" t="b">
        <v>0</v>
      </c>
      <c r="AL45" t="inlineStr">
        <is>
          <t>Unreviewed</t>
        </is>
      </c>
      <c r="AM45" t="inlineStr">
        <is>
          <t>Not Started</t>
        </is>
      </c>
      <c r="AN45" t="inlineStr">
        <is>
          <t>Not Started</t>
        </is>
      </c>
      <c r="AO45" t="inlineStr">
        <is>
          <t>Not Started</t>
        </is>
      </c>
      <c r="AP45" t="inlineStr">
        <is>
          <t>Not Started</t>
        </is>
      </c>
      <c r="AR45" t="inlineStr">
        <is>
          <t>v0.3-2026-06-29</t>
        </is>
      </c>
      <c r="AT45" s="3" t="n"/>
    </row>
    <row r="46">
      <c r="A46" t="inlineStr">
        <is>
          <t>C-0276</t>
        </is>
      </c>
      <c r="B46" t="inlineStr">
        <is>
          <t>Angel Aura Quartz</t>
        </is>
      </c>
      <c r="C46" t="inlineStr">
        <is>
          <t>Opal Aura Quartz</t>
        </is>
      </c>
      <c r="D46" t="inlineStr">
        <is>
          <t>Quartz</t>
        </is>
      </c>
      <c r="E46" t="inlineStr">
        <is>
          <t>Quartz</t>
        </is>
      </c>
      <c r="F46" t="n">
        <v>2</v>
      </c>
      <c r="G46" t="n">
        <v>4</v>
      </c>
      <c r="H46" t="n">
        <v>276</v>
      </c>
      <c r="I46" t="n">
        <v>276</v>
      </c>
      <c r="J46" t="inlineStr">
        <is>
          <t>Andradite Garnet</t>
        </is>
      </c>
      <c r="K46" t="inlineStr">
        <is>
          <t>andradite-garnet</t>
        </is>
      </c>
      <c r="L46" t="inlineStr">
        <is>
          <t>Angelite</t>
        </is>
      </c>
      <c r="M46" t="inlineStr">
        <is>
          <t>angelite</t>
        </is>
      </c>
      <c r="N46" t="b">
        <v>0</v>
      </c>
      <c r="O46" t="inlineStr">
        <is>
          <t>angel-aura-quartz</t>
        </is>
      </c>
      <c r="P46" t="inlineStr">
        <is>
          <t>Not Started</t>
        </is>
      </c>
      <c r="Q46" t="inlineStr">
        <is>
          <t>Crown</t>
        </is>
      </c>
      <c r="R46" t="inlineStr">
        <is>
          <t>Third Eye</t>
        </is>
      </c>
      <c r="S46" t="inlineStr">
        <is>
          <t>Crown</t>
        </is>
      </c>
      <c r="X46" t="inlineStr">
        <is>
          <t>Mineral</t>
        </is>
      </c>
      <c r="Z46" s="3" t="inlineStr">
        <is>
          <t>Emotional uplift</t>
        </is>
      </c>
      <c r="AA46" s="3" t="inlineStr">
        <is>
          <t>Use when you need to lift your perspective without ignoring what you are genuinely feeling.</t>
        </is>
      </c>
      <c r="AB46" s="3" t="n"/>
      <c r="AC46" t="inlineStr">
        <is>
          <t>Spiritual Connection</t>
        </is>
      </c>
      <c r="AD46" t="inlineStr">
        <is>
          <t>Calm &amp; Peace</t>
        </is>
      </c>
      <c r="AF46" t="inlineStr">
        <is>
          <t>["Uplift","Spirit","Peace"]</t>
        </is>
      </c>
      <c r="AK46" t="b">
        <v>0</v>
      </c>
      <c r="AL46" t="inlineStr">
        <is>
          <t>Unreviewed</t>
        </is>
      </c>
      <c r="AM46" t="inlineStr">
        <is>
          <t>Not Started</t>
        </is>
      </c>
      <c r="AN46" t="inlineStr">
        <is>
          <t>Not Started</t>
        </is>
      </c>
      <c r="AO46" t="inlineStr">
        <is>
          <t>Not Started</t>
        </is>
      </c>
      <c r="AP46" t="inlineStr">
        <is>
          <t>Not Started</t>
        </is>
      </c>
      <c r="AR46" t="inlineStr">
        <is>
          <t>v0.3-2026-06-29</t>
        </is>
      </c>
      <c r="AT46" s="3" t="n"/>
    </row>
    <row r="47">
      <c r="A47" t="inlineStr">
        <is>
          <t>C-0171</t>
        </is>
      </c>
      <c r="B47" t="inlineStr">
        <is>
          <t>Angelite</t>
        </is>
      </c>
      <c r="C47" t="inlineStr">
        <is>
          <t>Blue Anhydrite</t>
        </is>
      </c>
      <c r="D47" t="inlineStr">
        <is>
          <t>Other Mineral</t>
        </is>
      </c>
      <c r="E47" t="inlineStr">
        <is>
          <t>Anhydrite</t>
        </is>
      </c>
      <c r="F47" t="n">
        <v>2</v>
      </c>
      <c r="G47" t="n">
        <v>4</v>
      </c>
      <c r="H47" t="n">
        <v>171</v>
      </c>
      <c r="I47" t="n">
        <v>171</v>
      </c>
      <c r="J47" t="inlineStr">
        <is>
          <t>Angel Aura Quartz</t>
        </is>
      </c>
      <c r="K47" t="inlineStr">
        <is>
          <t>angel-aura-quartz</t>
        </is>
      </c>
      <c r="L47" t="inlineStr">
        <is>
          <t>Apache Tears</t>
        </is>
      </c>
      <c r="M47" t="inlineStr">
        <is>
          <t>apache-tears</t>
        </is>
      </c>
      <c r="N47" t="b">
        <v>0</v>
      </c>
      <c r="O47" t="inlineStr">
        <is>
          <t>angelite</t>
        </is>
      </c>
      <c r="P47" t="inlineStr">
        <is>
          <t>Not Started</t>
        </is>
      </c>
      <c r="Q47" t="inlineStr">
        <is>
          <t>Throat</t>
        </is>
      </c>
      <c r="R47" t="inlineStr">
        <is>
          <t>Third Eye</t>
        </is>
      </c>
      <c r="S47" t="inlineStr">
        <is>
          <t>Throat</t>
        </is>
      </c>
      <c r="X47" t="inlineStr">
        <is>
          <t>Mineral</t>
        </is>
      </c>
      <c r="Z47" s="3" t="inlineStr">
        <is>
          <t>Peaceful communication</t>
        </is>
      </c>
      <c r="AA47" s="3" t="inlineStr">
        <is>
          <t>Use when you need to express something tender without shutting down or becoming emotionally flooded.</t>
        </is>
      </c>
      <c r="AB47" s="3" t="n"/>
      <c r="AC47" t="inlineStr">
        <is>
          <t>Calm &amp; Peace</t>
        </is>
      </c>
      <c r="AD47" t="inlineStr">
        <is>
          <t>Communication</t>
        </is>
      </c>
      <c r="AF47" t="inlineStr">
        <is>
          <t>["Peace","Communication","Compassion"]</t>
        </is>
      </c>
      <c r="AK47" t="b">
        <v>0</v>
      </c>
      <c r="AL47" t="inlineStr">
        <is>
          <t>Unreviewed</t>
        </is>
      </c>
      <c r="AM47" t="inlineStr">
        <is>
          <t>Not Started</t>
        </is>
      </c>
      <c r="AN47" t="inlineStr">
        <is>
          <t>Not Started</t>
        </is>
      </c>
      <c r="AO47" t="inlineStr">
        <is>
          <t>Not Started</t>
        </is>
      </c>
      <c r="AP47" t="inlineStr">
        <is>
          <t>Not Started</t>
        </is>
      </c>
      <c r="AR47" t="inlineStr">
        <is>
          <t>v0.3-2026-06-29</t>
        </is>
      </c>
      <c r="AT47" s="3" t="n"/>
    </row>
    <row r="48">
      <c r="A48" t="inlineStr">
        <is>
          <t>C-0138</t>
        </is>
      </c>
      <c r="B48" t="inlineStr">
        <is>
          <t>Apache Tears</t>
        </is>
      </c>
      <c r="C48" t="inlineStr">
        <is>
          <t>Obsidian</t>
        </is>
      </c>
      <c r="D48" t="inlineStr">
        <is>
          <t>Obsidian</t>
        </is>
      </c>
      <c r="E48" t="inlineStr">
        <is>
          <t>Obsidian</t>
        </is>
      </c>
      <c r="F48" t="n">
        <v>2</v>
      </c>
      <c r="G48" t="n">
        <v>4</v>
      </c>
      <c r="H48" t="n">
        <v>138</v>
      </c>
      <c r="I48" t="n">
        <v>138</v>
      </c>
      <c r="J48" t="inlineStr">
        <is>
          <t>Angelite</t>
        </is>
      </c>
      <c r="K48" t="inlineStr">
        <is>
          <t>angelite</t>
        </is>
      </c>
      <c r="L48" t="inlineStr">
        <is>
          <t>Apophyllite</t>
        </is>
      </c>
      <c r="M48" t="inlineStr">
        <is>
          <t>apophyllite</t>
        </is>
      </c>
      <c r="N48" t="b">
        <v>0</v>
      </c>
      <c r="O48" t="inlineStr">
        <is>
          <t>apache-tears</t>
        </is>
      </c>
      <c r="P48" t="inlineStr">
        <is>
          <t>Not Started</t>
        </is>
      </c>
      <c r="Q48" t="inlineStr">
        <is>
          <t>Root</t>
        </is>
      </c>
      <c r="R48" t="inlineStr">
        <is>
          <t>Heart</t>
        </is>
      </c>
      <c r="S48" t="inlineStr">
        <is>
          <t>Root</t>
        </is>
      </c>
      <c r="X48" t="inlineStr">
        <is>
          <t>Mineraloid</t>
        </is>
      </c>
      <c r="Z48" s="3" t="inlineStr">
        <is>
          <t>Gentle release</t>
        </is>
      </c>
      <c r="AA48" s="3" t="inlineStr">
        <is>
          <t>Use when you need to release pain gradually without forcing yourself into a deeper process than you can manage.</t>
        </is>
      </c>
      <c r="AB48" s="3" t="n"/>
      <c r="AC48" t="inlineStr">
        <is>
          <t>Grounding</t>
        </is>
      </c>
      <c r="AD48" t="inlineStr">
        <is>
          <t>Heart Healing</t>
        </is>
      </c>
      <c r="AF48" t="inlineStr">
        <is>
          <t>["Grounding","Healing","Protection"]</t>
        </is>
      </c>
      <c r="AK48" t="b">
        <v>0</v>
      </c>
      <c r="AL48" t="inlineStr">
        <is>
          <t>Unreviewed</t>
        </is>
      </c>
      <c r="AM48" t="inlineStr">
        <is>
          <t>Not Started</t>
        </is>
      </c>
      <c r="AN48" t="inlineStr">
        <is>
          <t>Not Started</t>
        </is>
      </c>
      <c r="AO48" t="inlineStr">
        <is>
          <t>Not Started</t>
        </is>
      </c>
      <c r="AP48" t="inlineStr">
        <is>
          <t>Not Started</t>
        </is>
      </c>
      <c r="AR48" t="inlineStr">
        <is>
          <t>v0.3-2026-06-29</t>
        </is>
      </c>
      <c r="AT48" s="3" t="n"/>
    </row>
    <row r="49">
      <c r="A49" t="inlineStr">
        <is>
          <t>C-0246</t>
        </is>
      </c>
      <c r="B49" t="inlineStr">
        <is>
          <t>Apophyllite</t>
        </is>
      </c>
      <c r="D49" t="inlineStr">
        <is>
          <t>Silicates</t>
        </is>
      </c>
      <c r="E49" t="inlineStr">
        <is>
          <t>Apophyllite</t>
        </is>
      </c>
      <c r="F49" t="n">
        <v>2</v>
      </c>
      <c r="G49" t="n">
        <v>4</v>
      </c>
      <c r="H49" t="n">
        <v>246</v>
      </c>
      <c r="I49" t="n">
        <v>246</v>
      </c>
      <c r="J49" t="inlineStr">
        <is>
          <t>Apache Tears</t>
        </is>
      </c>
      <c r="K49" t="inlineStr">
        <is>
          <t>apache-tears</t>
        </is>
      </c>
      <c r="L49" t="inlineStr">
        <is>
          <t>Aqua Aura Quartz</t>
        </is>
      </c>
      <c r="M49" t="inlineStr">
        <is>
          <t>aqua-aura-quartz</t>
        </is>
      </c>
      <c r="N49" t="b">
        <v>0</v>
      </c>
      <c r="O49" t="inlineStr">
        <is>
          <t>apophyllite</t>
        </is>
      </c>
      <c r="P49" t="inlineStr">
        <is>
          <t>Not Started</t>
        </is>
      </c>
      <c r="Q49" t="inlineStr">
        <is>
          <t>Crown</t>
        </is>
      </c>
      <c r="R49" t="inlineStr">
        <is>
          <t>Third Eye</t>
        </is>
      </c>
      <c r="S49" t="inlineStr">
        <is>
          <t>Crown</t>
        </is>
      </c>
      <c r="X49" t="inlineStr">
        <is>
          <t>Mineral</t>
        </is>
      </c>
      <c r="Z49" s="3" t="inlineStr">
        <is>
          <t>Reflective clarity</t>
        </is>
      </c>
      <c r="AA49" s="3" t="inlineStr">
        <is>
          <t>Use when you want to open your awareness without losing sight of what feels true and grounded.</t>
        </is>
      </c>
      <c r="AB49" s="3" t="n"/>
      <c r="AC49" t="inlineStr">
        <is>
          <t>Calm &amp; Peace</t>
        </is>
      </c>
      <c r="AD49" t="inlineStr">
        <is>
          <t>Clarity &amp; Focus</t>
        </is>
      </c>
      <c r="AF49" t="inlineStr">
        <is>
          <t>["Clarity","Spirit","Meditation"]</t>
        </is>
      </c>
      <c r="AK49" t="b">
        <v>0</v>
      </c>
      <c r="AL49" t="inlineStr">
        <is>
          <t>Unreviewed</t>
        </is>
      </c>
      <c r="AM49" t="inlineStr">
        <is>
          <t>Not Started</t>
        </is>
      </c>
      <c r="AN49" t="inlineStr">
        <is>
          <t>Not Started</t>
        </is>
      </c>
      <c r="AO49" t="inlineStr">
        <is>
          <t>Not Started</t>
        </is>
      </c>
      <c r="AP49" t="inlineStr">
        <is>
          <t>Not Started</t>
        </is>
      </c>
      <c r="AR49" t="inlineStr">
        <is>
          <t>v0.3-2026-06-29</t>
        </is>
      </c>
      <c r="AT49" s="3" t="n"/>
    </row>
    <row r="50">
      <c r="A50" t="inlineStr">
        <is>
          <t>C-0277</t>
        </is>
      </c>
      <c r="B50" t="inlineStr">
        <is>
          <t>Aqua Aura Quartz</t>
        </is>
      </c>
      <c r="D50" t="inlineStr">
        <is>
          <t>Quartz</t>
        </is>
      </c>
      <c r="E50" t="inlineStr">
        <is>
          <t>Quartz</t>
        </is>
      </c>
      <c r="F50" t="n">
        <v>2</v>
      </c>
      <c r="G50" t="n">
        <v>4</v>
      </c>
      <c r="H50" t="n">
        <v>277</v>
      </c>
      <c r="I50" t="n">
        <v>277</v>
      </c>
      <c r="J50" t="inlineStr">
        <is>
          <t>Apophyllite</t>
        </is>
      </c>
      <c r="K50" t="inlineStr">
        <is>
          <t>apophyllite</t>
        </is>
      </c>
      <c r="L50" t="inlineStr">
        <is>
          <t>Aquamarine</t>
        </is>
      </c>
      <c r="M50" t="inlineStr">
        <is>
          <t>aquamarine</t>
        </is>
      </c>
      <c r="N50" t="b">
        <v>0</v>
      </c>
      <c r="O50" t="inlineStr">
        <is>
          <t>aqua-aura-quartz</t>
        </is>
      </c>
      <c r="P50" t="inlineStr">
        <is>
          <t>Not Started</t>
        </is>
      </c>
      <c r="Q50" t="inlineStr">
        <is>
          <t>Throat</t>
        </is>
      </c>
      <c r="R50" t="inlineStr">
        <is>
          <t>Third Eye</t>
        </is>
      </c>
      <c r="S50" t="inlineStr">
        <is>
          <t>Throat</t>
        </is>
      </c>
      <c r="X50" t="inlineStr">
        <is>
          <t>Mineral</t>
        </is>
      </c>
      <c r="Z50" s="3" t="inlineStr">
        <is>
          <t>Clear expression</t>
        </is>
      </c>
      <c r="AA50" s="3" t="inlineStr">
        <is>
          <t>Use when you know what you mean but are struggling to express it with confidence and precision.</t>
        </is>
      </c>
      <c r="AB50" s="3" t="n"/>
      <c r="AC50" t="inlineStr">
        <is>
          <t>Communication</t>
        </is>
      </c>
      <c r="AD50" t="inlineStr">
        <is>
          <t>Spiritual Connection</t>
        </is>
      </c>
      <c r="AF50" t="inlineStr">
        <is>
          <t>["Communication","Clarity","Confidence"]</t>
        </is>
      </c>
      <c r="AK50" t="b">
        <v>0</v>
      </c>
      <c r="AL50" t="inlineStr">
        <is>
          <t>Unreviewed</t>
        </is>
      </c>
      <c r="AM50" t="inlineStr">
        <is>
          <t>Not Started</t>
        </is>
      </c>
      <c r="AN50" t="inlineStr">
        <is>
          <t>Not Started</t>
        </is>
      </c>
      <c r="AO50" t="inlineStr">
        <is>
          <t>Not Started</t>
        </is>
      </c>
      <c r="AP50" t="inlineStr">
        <is>
          <t>Not Started</t>
        </is>
      </c>
      <c r="AR50" t="inlineStr">
        <is>
          <t>v0.3-2026-06-29</t>
        </is>
      </c>
      <c r="AT50" s="3" t="n"/>
    </row>
    <row r="51">
      <c r="A51" t="inlineStr">
        <is>
          <t>C-0021</t>
        </is>
      </c>
      <c r="B51" t="inlineStr">
        <is>
          <t>Aquamarine</t>
        </is>
      </c>
      <c r="D51" t="inlineStr">
        <is>
          <t>Beryl</t>
        </is>
      </c>
      <c r="E51" t="inlineStr">
        <is>
          <t>Beryl</t>
        </is>
      </c>
      <c r="F51" t="n">
        <v>2</v>
      </c>
      <c r="G51" t="n">
        <v>4</v>
      </c>
      <c r="H51" t="n">
        <v>21</v>
      </c>
      <c r="I51" t="n">
        <v>21</v>
      </c>
      <c r="J51" t="inlineStr">
        <is>
          <t>Aqua Aura Quartz</t>
        </is>
      </c>
      <c r="K51" t="inlineStr">
        <is>
          <t>aqua-aura-quartz</t>
        </is>
      </c>
      <c r="L51" t="inlineStr">
        <is>
          <t>Aragonite</t>
        </is>
      </c>
      <c r="M51" t="inlineStr">
        <is>
          <t>aragonite</t>
        </is>
      </c>
      <c r="N51" t="b">
        <v>0</v>
      </c>
      <c r="O51" t="inlineStr">
        <is>
          <t>aquamarine</t>
        </is>
      </c>
      <c r="P51" t="inlineStr">
        <is>
          <t>Not Started</t>
        </is>
      </c>
      <c r="Q51" t="inlineStr">
        <is>
          <t>Throat</t>
        </is>
      </c>
      <c r="R51" t="inlineStr">
        <is>
          <t>Heart</t>
        </is>
      </c>
      <c r="S51" t="inlineStr">
        <is>
          <t>Throat</t>
        </is>
      </c>
      <c r="X51" t="inlineStr">
        <is>
          <t>Mineral</t>
        </is>
      </c>
      <c r="Z51" s="3" t="inlineStr">
        <is>
          <t>Speaking honestly without losing composure</t>
        </is>
      </c>
      <c r="AA51" s="3" t="inlineStr">
        <is>
          <t>Use when you need to say something important without letting fear or emotion take control of the conversation.</t>
        </is>
      </c>
      <c r="AB51" s="3" t="n"/>
      <c r="AC51" t="inlineStr">
        <is>
          <t>Calm &amp; Peace</t>
        </is>
      </c>
      <c r="AD51" t="inlineStr">
        <is>
          <t>Communication</t>
        </is>
      </c>
      <c r="AF51" t="inlineStr">
        <is>
          <t>["Calm","Communication","Courage"]</t>
        </is>
      </c>
      <c r="AK51" t="b">
        <v>0</v>
      </c>
      <c r="AL51" t="inlineStr">
        <is>
          <t>Unreviewed</t>
        </is>
      </c>
      <c r="AM51" t="inlineStr">
        <is>
          <t>Not Started</t>
        </is>
      </c>
      <c r="AN51" t="inlineStr">
        <is>
          <t>Not Started</t>
        </is>
      </c>
      <c r="AO51" t="inlineStr">
        <is>
          <t>Not Started</t>
        </is>
      </c>
      <c r="AP51" t="inlineStr">
        <is>
          <t>Not Started</t>
        </is>
      </c>
      <c r="AR51" t="inlineStr">
        <is>
          <t>v0.3-2026-06-29</t>
        </is>
      </c>
      <c r="AT51" s="3" t="n"/>
    </row>
    <row r="52">
      <c r="A52" t="inlineStr">
        <is>
          <t>C-0001</t>
        </is>
      </c>
      <c r="B52" t="inlineStr">
        <is>
          <t>Aragonite</t>
        </is>
      </c>
      <c r="D52" t="inlineStr">
        <is>
          <t>Aragonite</t>
        </is>
      </c>
      <c r="E52" t="inlineStr">
        <is>
          <t>Aragonite</t>
        </is>
      </c>
      <c r="F52" t="n">
        <v>2</v>
      </c>
      <c r="G52" t="n">
        <v>4</v>
      </c>
      <c r="H52" t="n">
        <v>1</v>
      </c>
      <c r="I52" t="n">
        <v>1</v>
      </c>
      <c r="J52" t="inlineStr">
        <is>
          <t>Aquamarine</t>
        </is>
      </c>
      <c r="K52" t="inlineStr">
        <is>
          <t>aquamarine</t>
        </is>
      </c>
      <c r="L52" t="inlineStr">
        <is>
          <t>Arkansas Quartz</t>
        </is>
      </c>
      <c r="M52" t="inlineStr">
        <is>
          <t>arkansas-quartz</t>
        </is>
      </c>
      <c r="N52" t="b">
        <v>0</v>
      </c>
      <c r="O52" t="inlineStr">
        <is>
          <t>aragonite</t>
        </is>
      </c>
      <c r="P52" t="inlineStr">
        <is>
          <t>Not Started</t>
        </is>
      </c>
      <c r="Q52" t="inlineStr">
        <is>
          <t>Root</t>
        </is>
      </c>
      <c r="S52" t="inlineStr">
        <is>
          <t>Root</t>
        </is>
      </c>
      <c r="X52" t="inlineStr">
        <is>
          <t>Mineral</t>
        </is>
      </c>
      <c r="Z52" s="3" t="inlineStr">
        <is>
          <t>Centered stability</t>
        </is>
      </c>
      <c r="AA52" s="3" t="inlineStr">
        <is>
          <t>Use when you feel overstimulated, hurried, or unable to settle into one place long enough to regroup.</t>
        </is>
      </c>
      <c r="AB52" s="3" t="n"/>
      <c r="AC52" t="inlineStr">
        <is>
          <t>Grounding</t>
        </is>
      </c>
      <c r="AF52" t="inlineStr">
        <is>
          <t>["Grounding","Stability","Calm"]</t>
        </is>
      </c>
      <c r="AK52" t="b">
        <v>0</v>
      </c>
      <c r="AL52" t="inlineStr">
        <is>
          <t>Unreviewed</t>
        </is>
      </c>
      <c r="AM52" t="inlineStr">
        <is>
          <t>Not Started</t>
        </is>
      </c>
      <c r="AN52" t="inlineStr">
        <is>
          <t>Not Started</t>
        </is>
      </c>
      <c r="AO52" t="inlineStr">
        <is>
          <t>Not Started</t>
        </is>
      </c>
      <c r="AP52" t="inlineStr">
        <is>
          <t>Not Started</t>
        </is>
      </c>
      <c r="AR52" t="inlineStr">
        <is>
          <t>v0.3-2026-06-29</t>
        </is>
      </c>
      <c r="AT52" s="3" t="n"/>
    </row>
    <row r="53">
      <c r="A53" t="inlineStr">
        <is>
          <t>C-0106</t>
        </is>
      </c>
      <c r="B53" t="inlineStr">
        <is>
          <t>Arkansas Quartz</t>
        </is>
      </c>
      <c r="D53" t="inlineStr">
        <is>
          <t>Quartz</t>
        </is>
      </c>
      <c r="E53" t="inlineStr">
        <is>
          <t>Quartz</t>
        </is>
      </c>
      <c r="F53" t="n">
        <v>2</v>
      </c>
      <c r="G53" t="n">
        <v>4</v>
      </c>
      <c r="H53" t="n">
        <v>106</v>
      </c>
      <c r="I53" t="n">
        <v>106</v>
      </c>
      <c r="J53" t="inlineStr">
        <is>
          <t>Aragonite</t>
        </is>
      </c>
      <c r="K53" t="inlineStr">
        <is>
          <t>aragonite</t>
        </is>
      </c>
      <c r="L53" t="inlineStr">
        <is>
          <t>Astrophyllite</t>
        </is>
      </c>
      <c r="M53" t="inlineStr">
        <is>
          <t>astrophyllite</t>
        </is>
      </c>
      <c r="N53" t="b">
        <v>0</v>
      </c>
      <c r="O53" t="inlineStr">
        <is>
          <t>arkansas-quartz</t>
        </is>
      </c>
      <c r="P53" t="inlineStr">
        <is>
          <t>Not Started</t>
        </is>
      </c>
      <c r="Q53" t="inlineStr">
        <is>
          <t>Crown</t>
        </is>
      </c>
      <c r="S53" t="inlineStr">
        <is>
          <t>Crown</t>
        </is>
      </c>
      <c r="X53" t="inlineStr">
        <is>
          <t>Mineral</t>
        </is>
      </c>
      <c r="Z53" s="3" t="inlineStr">
        <is>
          <t>Focused intention</t>
        </is>
      </c>
      <c r="AA53" s="3" t="inlineStr">
        <is>
          <t>Use when you want the versatility of clear quartz with a sharper sense of focus and direction.</t>
        </is>
      </c>
      <c r="AB53" s="3" t="n"/>
      <c r="AC53" t="inlineStr">
        <is>
          <t>Amplification</t>
        </is>
      </c>
      <c r="AD53" t="inlineStr">
        <is>
          <t>Clarity &amp; Focus</t>
        </is>
      </c>
      <c r="AE53" t="inlineStr">
        <is>
          <t>Spiritual Connection</t>
        </is>
      </c>
      <c r="AF53" t="inlineStr">
        <is>
          <t>["Amplification","Clarity","Focus"]</t>
        </is>
      </c>
      <c r="AK53" t="b">
        <v>0</v>
      </c>
      <c r="AL53" t="inlineStr">
        <is>
          <t>Unreviewed</t>
        </is>
      </c>
      <c r="AM53" t="inlineStr">
        <is>
          <t>Not Started</t>
        </is>
      </c>
      <c r="AN53" t="inlineStr">
        <is>
          <t>Not Started</t>
        </is>
      </c>
      <c r="AO53" t="inlineStr">
        <is>
          <t>Not Started</t>
        </is>
      </c>
      <c r="AP53" t="inlineStr">
        <is>
          <t>Not Started</t>
        </is>
      </c>
      <c r="AR53" t="inlineStr">
        <is>
          <t>v0.3-2026-06-29</t>
        </is>
      </c>
      <c r="AT53" s="3" t="n"/>
    </row>
    <row r="54">
      <c r="A54" t="inlineStr">
        <is>
          <t>C-0149</t>
        </is>
      </c>
      <c r="B54" t="inlineStr">
        <is>
          <t>Banded Carnelian</t>
        </is>
      </c>
      <c r="D54" t="inlineStr">
        <is>
          <t>Aggregate</t>
        </is>
      </c>
      <c r="E54" t="inlineStr">
        <is>
          <t>Chalcedony</t>
        </is>
      </c>
      <c r="F54" t="n">
        <v>2</v>
      </c>
      <c r="G54" t="n">
        <v>5</v>
      </c>
      <c r="H54" t="n">
        <v>149</v>
      </c>
      <c r="I54" t="n">
        <v>149</v>
      </c>
      <c r="J54" t="inlineStr">
        <is>
          <t>Azurite</t>
        </is>
      </c>
      <c r="K54" t="inlineStr">
        <is>
          <t>azurite</t>
        </is>
      </c>
      <c r="L54" t="inlineStr">
        <is>
          <t>Barite</t>
        </is>
      </c>
      <c r="M54" t="inlineStr">
        <is>
          <t>barite</t>
        </is>
      </c>
      <c r="N54" t="b">
        <v>0</v>
      </c>
      <c r="O54" t="inlineStr">
        <is>
          <t>banded-carnelian</t>
        </is>
      </c>
      <c r="P54" t="inlineStr">
        <is>
          <t>Not Started</t>
        </is>
      </c>
      <c r="Q54" t="inlineStr">
        <is>
          <t>Sacral</t>
        </is>
      </c>
      <c r="R54" t="inlineStr">
        <is>
          <t>Root</t>
        </is>
      </c>
      <c r="S54" t="inlineStr">
        <is>
          <t>Sacral</t>
        </is>
      </c>
      <c r="X54" t="inlineStr">
        <is>
          <t>Mineral variety</t>
        </is>
      </c>
      <c r="Z54" s="3" t="inlineStr">
        <is>
          <t>Sustained motivation</t>
        </is>
      </c>
      <c r="AA54" s="3" t="inlineStr">
        <is>
          <t>Use when you have begun something important but need help maintaining your energy and commitment.</t>
        </is>
      </c>
      <c r="AB54" s="3" t="n"/>
      <c r="AC54" t="inlineStr">
        <is>
          <t>Confidence</t>
        </is>
      </c>
      <c r="AD54" t="inlineStr">
        <is>
          <t>Vitality</t>
        </is>
      </c>
      <c r="AF54" t="inlineStr">
        <is>
          <t>["Motivation","Confidence","Endurance"]</t>
        </is>
      </c>
      <c r="AK54" t="b">
        <v>0</v>
      </c>
      <c r="AL54" t="inlineStr">
        <is>
          <t>Unreviewed</t>
        </is>
      </c>
      <c r="AM54" t="inlineStr">
        <is>
          <t>Not Started</t>
        </is>
      </c>
      <c r="AN54" t="inlineStr">
        <is>
          <t>Not Started</t>
        </is>
      </c>
      <c r="AO54" t="inlineStr">
        <is>
          <t>Not Started</t>
        </is>
      </c>
      <c r="AP54" t="inlineStr">
        <is>
          <t>Not Started</t>
        </is>
      </c>
      <c r="AR54" t="inlineStr">
        <is>
          <t>v0.3-2026-06-29</t>
        </is>
      </c>
      <c r="AT54" s="3" t="n"/>
    </row>
    <row r="55">
      <c r="A55" t="inlineStr">
        <is>
          <t>C-0208</t>
        </is>
      </c>
      <c r="B55" t="inlineStr">
        <is>
          <t>Bismuth</t>
        </is>
      </c>
      <c r="D55" t="inlineStr">
        <is>
          <t>Other Mineral</t>
        </is>
      </c>
      <c r="E55" t="inlineStr">
        <is>
          <t>Bismuth</t>
        </is>
      </c>
      <c r="F55" t="n">
        <v>2</v>
      </c>
      <c r="G55" t="n">
        <v>5</v>
      </c>
      <c r="H55" t="n">
        <v>208</v>
      </c>
      <c r="I55" t="n">
        <v>208</v>
      </c>
      <c r="J55" t="inlineStr">
        <is>
          <t>Biotite</t>
        </is>
      </c>
      <c r="K55" t="inlineStr">
        <is>
          <t>biotite</t>
        </is>
      </c>
      <c r="L55" t="inlineStr">
        <is>
          <t>Black Amethyst</t>
        </is>
      </c>
      <c r="M55" t="inlineStr">
        <is>
          <t>black-amethyst</t>
        </is>
      </c>
      <c r="N55" t="b">
        <v>0</v>
      </c>
      <c r="O55" t="inlineStr">
        <is>
          <t>bismuth</t>
        </is>
      </c>
      <c r="P55" t="inlineStr">
        <is>
          <t>Not Started</t>
        </is>
      </c>
      <c r="Q55" t="inlineStr">
        <is>
          <t>Crown</t>
        </is>
      </c>
      <c r="R55" t="inlineStr">
        <is>
          <t>Root</t>
        </is>
      </c>
      <c r="S55" t="inlineStr">
        <is>
          <t>Crown</t>
        </is>
      </c>
      <c r="X55" t="inlineStr">
        <is>
          <t>Mineral</t>
        </is>
      </c>
      <c r="Z55" s="3" t="inlineStr">
        <is>
          <t>Transformative rebuilding</t>
        </is>
      </c>
      <c r="AA55" s="3" t="inlineStr">
        <is>
          <t>Use when plans have changed suddenly and you need to build a new structure from unfamiliar pieces.</t>
        </is>
      </c>
      <c r="AB55" s="3" t="n"/>
      <c r="AC55" t="inlineStr">
        <is>
          <t>Transformation</t>
        </is>
      </c>
      <c r="AD55" t="inlineStr">
        <is>
          <t>Clarity &amp; Focus</t>
        </is>
      </c>
      <c r="AF55" t="inlineStr">
        <is>
          <t>["Transformation","Growth","Balance"]</t>
        </is>
      </c>
      <c r="AK55" t="b">
        <v>0</v>
      </c>
      <c r="AL55" t="inlineStr">
        <is>
          <t>Unreviewed</t>
        </is>
      </c>
      <c r="AM55" t="inlineStr">
        <is>
          <t>Not Started</t>
        </is>
      </c>
      <c r="AN55" t="inlineStr">
        <is>
          <t>Not Started</t>
        </is>
      </c>
      <c r="AO55" t="inlineStr">
        <is>
          <t>Not Started</t>
        </is>
      </c>
      <c r="AP55" t="inlineStr">
        <is>
          <t>Not Started</t>
        </is>
      </c>
      <c r="AR55" t="inlineStr">
        <is>
          <t>v0.3-2026-06-29</t>
        </is>
      </c>
      <c r="AT55" s="3" t="n"/>
    </row>
    <row r="56">
      <c r="A56" t="inlineStr">
        <is>
          <t>C-0159</t>
        </is>
      </c>
      <c r="B56" t="inlineStr">
        <is>
          <t>Black Moonstone</t>
        </is>
      </c>
      <c r="D56" t="inlineStr">
        <is>
          <t>Feldspar</t>
        </is>
      </c>
      <c r="E56" t="inlineStr">
        <is>
          <t>Labradorite</t>
        </is>
      </c>
      <c r="F56" t="n">
        <v>2</v>
      </c>
      <c r="G56" t="n">
        <v>5</v>
      </c>
      <c r="H56" t="n">
        <v>159</v>
      </c>
      <c r="I56" t="n">
        <v>159</v>
      </c>
      <c r="J56" t="inlineStr">
        <is>
          <t>Black Kyanite</t>
        </is>
      </c>
      <c r="K56" t="inlineStr">
        <is>
          <t>black-kyanite</t>
        </is>
      </c>
      <c r="L56" t="inlineStr">
        <is>
          <t>Black Obsidian</t>
        </is>
      </c>
      <c r="M56" t="inlineStr">
        <is>
          <t>black-obsidian</t>
        </is>
      </c>
      <c r="N56" t="b">
        <v>0</v>
      </c>
      <c r="O56" t="inlineStr">
        <is>
          <t>black-moonstone</t>
        </is>
      </c>
      <c r="P56" t="inlineStr">
        <is>
          <t>Not Started</t>
        </is>
      </c>
      <c r="Q56" t="inlineStr">
        <is>
          <t>Root</t>
        </is>
      </c>
      <c r="R56" t="inlineStr">
        <is>
          <t>Crown</t>
        </is>
      </c>
      <c r="S56" t="inlineStr">
        <is>
          <t>Root</t>
        </is>
      </c>
      <c r="X56" t="inlineStr">
        <is>
          <t>Mineral</t>
        </is>
      </c>
      <c r="Z56" s="3" t="inlineStr">
        <is>
          <t>Protected receptivity</t>
        </is>
      </c>
      <c r="AA56" s="3" t="inlineStr">
        <is>
          <t>Use when you want to remain emotionally open while protecting yourself from becoming overwhelmed by change.</t>
        </is>
      </c>
      <c r="AB56" s="3" t="n"/>
      <c r="AC56" t="inlineStr">
        <is>
          <t>Grounding</t>
        </is>
      </c>
      <c r="AD56" t="inlineStr">
        <is>
          <t>Calm &amp; Peace</t>
        </is>
      </c>
      <c r="AF56" t="inlineStr">
        <is>
          <t>["Intuition","Grounding","Protection"]</t>
        </is>
      </c>
      <c r="AK56" t="b">
        <v>0</v>
      </c>
      <c r="AL56" t="inlineStr">
        <is>
          <t>Unreviewed</t>
        </is>
      </c>
      <c r="AM56" t="inlineStr">
        <is>
          <t>Not Started</t>
        </is>
      </c>
      <c r="AN56" t="inlineStr">
        <is>
          <t>Not Started</t>
        </is>
      </c>
      <c r="AO56" t="inlineStr">
        <is>
          <t>Not Started</t>
        </is>
      </c>
      <c r="AP56" t="inlineStr">
        <is>
          <t>Not Started</t>
        </is>
      </c>
      <c r="AR56" t="inlineStr">
        <is>
          <t>v0.3-2026-06-29</t>
        </is>
      </c>
      <c r="AT56" s="3" t="n"/>
    </row>
    <row r="57">
      <c r="A57" t="inlineStr">
        <is>
          <t>C-0044</t>
        </is>
      </c>
      <c r="B57" t="inlineStr">
        <is>
          <t>Blue Apatite</t>
        </is>
      </c>
      <c r="D57" t="inlineStr">
        <is>
          <t>Apatite</t>
        </is>
      </c>
      <c r="E57" t="inlineStr">
        <is>
          <t>Apatite</t>
        </is>
      </c>
      <c r="F57" t="n">
        <v>2</v>
      </c>
      <c r="G57" t="n">
        <v>5</v>
      </c>
      <c r="H57" t="n">
        <v>44</v>
      </c>
      <c r="I57" t="n">
        <v>44</v>
      </c>
      <c r="J57" t="inlineStr">
        <is>
          <t>Bloodstone</t>
        </is>
      </c>
      <c r="K57" t="inlineStr">
        <is>
          <t>bloodstone</t>
        </is>
      </c>
      <c r="L57" t="inlineStr">
        <is>
          <t>Blue Aragonite</t>
        </is>
      </c>
      <c r="M57" t="inlineStr">
        <is>
          <t>blue-aragonite</t>
        </is>
      </c>
      <c r="N57" t="b">
        <v>0</v>
      </c>
      <c r="O57" t="inlineStr">
        <is>
          <t>blue-apatite</t>
        </is>
      </c>
      <c r="P57" t="inlineStr">
        <is>
          <t>Not Started</t>
        </is>
      </c>
      <c r="Q57" t="inlineStr">
        <is>
          <t>Third Eye</t>
        </is>
      </c>
      <c r="R57" t="inlineStr">
        <is>
          <t>Throat</t>
        </is>
      </c>
      <c r="S57" t="inlineStr">
        <is>
          <t>Third Eye</t>
        </is>
      </c>
      <c r="X57" t="inlineStr">
        <is>
          <t>Mineral</t>
        </is>
      </c>
      <c r="Z57" s="3" t="inlineStr">
        <is>
          <t>Inspired direction</t>
        </is>
      </c>
      <c r="AA57" s="3" t="inlineStr">
        <is>
          <t>Use when you have ideas and enthusiasm but cannot decide where to direct your energy first.</t>
        </is>
      </c>
      <c r="AB57" s="3" t="n"/>
      <c r="AC57" t="inlineStr">
        <is>
          <t>Clarity &amp; Focus</t>
        </is>
      </c>
      <c r="AD57" t="inlineStr">
        <is>
          <t>Vitality</t>
        </is>
      </c>
      <c r="AF57" t="inlineStr">
        <is>
          <t>["Motivation","Clarity","Creativity"]</t>
        </is>
      </c>
      <c r="AK57" t="b">
        <v>0</v>
      </c>
      <c r="AL57" t="inlineStr">
        <is>
          <t>Unreviewed</t>
        </is>
      </c>
      <c r="AM57" t="inlineStr">
        <is>
          <t>Not Started</t>
        </is>
      </c>
      <c r="AN57" t="inlineStr">
        <is>
          <t>Not Started</t>
        </is>
      </c>
      <c r="AO57" t="inlineStr">
        <is>
          <t>Not Started</t>
        </is>
      </c>
      <c r="AP57" t="inlineStr">
        <is>
          <t>Not Started</t>
        </is>
      </c>
      <c r="AR57" t="inlineStr">
        <is>
          <t>v0.3-2026-06-29</t>
        </is>
      </c>
      <c r="AT57" s="3" t="n"/>
    </row>
    <row r="58">
      <c r="A58" t="inlineStr">
        <is>
          <t>C-0177</t>
        </is>
      </c>
      <c r="B58" t="inlineStr">
        <is>
          <t>Blue Aventurine</t>
        </is>
      </c>
      <c r="D58" t="inlineStr">
        <is>
          <t>Aventurine</t>
        </is>
      </c>
      <c r="E58" t="inlineStr">
        <is>
          <t>Aventurine</t>
        </is>
      </c>
      <c r="F58" t="n">
        <v>2</v>
      </c>
      <c r="G58" t="n">
        <v>5</v>
      </c>
      <c r="H58" t="n">
        <v>177</v>
      </c>
      <c r="I58" t="n">
        <v>177</v>
      </c>
      <c r="J58" t="inlineStr">
        <is>
          <t>Blue Aragonite</t>
        </is>
      </c>
      <c r="K58" t="inlineStr">
        <is>
          <t>blue-aragonite</t>
        </is>
      </c>
      <c r="L58" t="inlineStr">
        <is>
          <t>Blue Calcite</t>
        </is>
      </c>
      <c r="M58" t="inlineStr">
        <is>
          <t>blue-calcite</t>
        </is>
      </c>
      <c r="N58" t="b">
        <v>0</v>
      </c>
      <c r="O58" t="inlineStr">
        <is>
          <t>blue-aventurine</t>
        </is>
      </c>
      <c r="P58" t="inlineStr">
        <is>
          <t>Not Started</t>
        </is>
      </c>
      <c r="Q58" t="inlineStr">
        <is>
          <t>Third Eye</t>
        </is>
      </c>
      <c r="R58" t="inlineStr">
        <is>
          <t>Throat</t>
        </is>
      </c>
      <c r="S58" t="inlineStr">
        <is>
          <t>Third Eye</t>
        </is>
      </c>
      <c r="X58" t="inlineStr">
        <is>
          <t>Rock</t>
        </is>
      </c>
      <c r="Z58" s="3" t="inlineStr">
        <is>
          <t>Focused discipline</t>
        </is>
      </c>
      <c r="AA58" s="3" t="inlineStr">
        <is>
          <t>Use when distraction or avoidance is keeping you from following through on a decision you have already made.</t>
        </is>
      </c>
      <c r="AB58" s="3" t="n"/>
      <c r="AC58" t="inlineStr">
        <is>
          <t>Grounding</t>
        </is>
      </c>
      <c r="AD58" t="inlineStr">
        <is>
          <t>Clarity &amp; Focus</t>
        </is>
      </c>
      <c r="AF58" t="inlineStr">
        <is>
          <t>["Focus","Discernment","Calm"]</t>
        </is>
      </c>
      <c r="AK58" t="b">
        <v>0</v>
      </c>
      <c r="AL58" t="inlineStr">
        <is>
          <t>Unreviewed</t>
        </is>
      </c>
      <c r="AM58" t="inlineStr">
        <is>
          <t>Not Started</t>
        </is>
      </c>
      <c r="AN58" t="inlineStr">
        <is>
          <t>Not Started</t>
        </is>
      </c>
      <c r="AO58" t="inlineStr">
        <is>
          <t>Not Started</t>
        </is>
      </c>
      <c r="AP58" t="inlineStr">
        <is>
          <t>Not Started</t>
        </is>
      </c>
      <c r="AR58" t="inlineStr">
        <is>
          <t>v0.3-2026-06-29</t>
        </is>
      </c>
      <c r="AT58" s="3" t="n"/>
    </row>
    <row r="59">
      <c r="A59" t="inlineStr">
        <is>
          <t>C-0007</t>
        </is>
      </c>
      <c r="B59" t="inlineStr">
        <is>
          <t>Blue Calcite</t>
        </is>
      </c>
      <c r="D59" t="inlineStr">
        <is>
          <t>Calcite</t>
        </is>
      </c>
      <c r="E59" t="inlineStr">
        <is>
          <t>Calcite</t>
        </is>
      </c>
      <c r="F59" t="n">
        <v>2</v>
      </c>
      <c r="G59" t="n">
        <v>5</v>
      </c>
      <c r="H59" t="n">
        <v>7</v>
      </c>
      <c r="I59" t="n">
        <v>7</v>
      </c>
      <c r="J59" t="inlineStr">
        <is>
          <t>Blue Aventurine</t>
        </is>
      </c>
      <c r="K59" t="inlineStr">
        <is>
          <t>blue-aventurine</t>
        </is>
      </c>
      <c r="L59" t="inlineStr">
        <is>
          <t>Blue Chalcedony</t>
        </is>
      </c>
      <c r="M59" t="inlineStr">
        <is>
          <t>blue-chalcedony</t>
        </is>
      </c>
      <c r="N59" t="b">
        <v>0</v>
      </c>
      <c r="O59" t="inlineStr">
        <is>
          <t>blue-calcite</t>
        </is>
      </c>
      <c r="P59" t="inlineStr">
        <is>
          <t>Not Started</t>
        </is>
      </c>
      <c r="Q59" t="inlineStr">
        <is>
          <t>Throat</t>
        </is>
      </c>
      <c r="R59" t="inlineStr">
        <is>
          <t>Third Eye</t>
        </is>
      </c>
      <c r="S59" t="inlineStr">
        <is>
          <t>Throat</t>
        </is>
      </c>
      <c r="X59" t="inlineStr">
        <is>
          <t>Mineral</t>
        </is>
      </c>
      <c r="Z59" s="3" t="inlineStr">
        <is>
          <t>Gentle expression</t>
        </is>
      </c>
      <c r="AA59" s="3" t="inlineStr">
        <is>
          <t>Use when you need to communicate calmly but your emotions feel too loud or tangled.</t>
        </is>
      </c>
      <c r="AB59" s="3" t="n"/>
      <c r="AC59" t="inlineStr">
        <is>
          <t>Calm &amp; Peace</t>
        </is>
      </c>
      <c r="AD59" t="inlineStr">
        <is>
          <t>Communication</t>
        </is>
      </c>
      <c r="AF59" t="inlineStr">
        <is>
          <t>["Calm","Communication","Peace"]</t>
        </is>
      </c>
      <c r="AK59" t="b">
        <v>0</v>
      </c>
      <c r="AL59" t="inlineStr">
        <is>
          <t>Unreviewed</t>
        </is>
      </c>
      <c r="AM59" t="inlineStr">
        <is>
          <t>Not Started</t>
        </is>
      </c>
      <c r="AN59" t="inlineStr">
        <is>
          <t>Not Started</t>
        </is>
      </c>
      <c r="AO59" t="inlineStr">
        <is>
          <t>Not Started</t>
        </is>
      </c>
      <c r="AP59" t="inlineStr">
        <is>
          <t>Not Started</t>
        </is>
      </c>
      <c r="AR59" t="inlineStr">
        <is>
          <t>v0.3-2026-06-29</t>
        </is>
      </c>
      <c r="AT59" s="3" t="n"/>
    </row>
    <row r="60">
      <c r="A60" t="inlineStr">
        <is>
          <t>C-0082</t>
        </is>
      </c>
      <c r="B60" t="inlineStr">
        <is>
          <t>Blue Chalcedony</t>
        </is>
      </c>
      <c r="D60" t="inlineStr">
        <is>
          <t>Quartz</t>
        </is>
      </c>
      <c r="E60" t="inlineStr">
        <is>
          <t>Quartz</t>
        </is>
      </c>
      <c r="F60" t="n">
        <v>2</v>
      </c>
      <c r="G60" t="n">
        <v>5</v>
      </c>
      <c r="H60" t="n">
        <v>82</v>
      </c>
      <c r="I60" t="n">
        <v>82</v>
      </c>
      <c r="J60" t="inlineStr">
        <is>
          <t>Blue Calcite</t>
        </is>
      </c>
      <c r="K60" t="inlineStr">
        <is>
          <t>blue-calcite</t>
        </is>
      </c>
      <c r="L60" t="inlineStr">
        <is>
          <t>Blue Chert</t>
        </is>
      </c>
      <c r="M60" t="inlineStr">
        <is>
          <t>blue-chert</t>
        </is>
      </c>
      <c r="N60" t="b">
        <v>0</v>
      </c>
      <c r="O60" t="inlineStr">
        <is>
          <t>blue-chalcedony</t>
        </is>
      </c>
      <c r="P60" t="inlineStr">
        <is>
          <t>Not Started</t>
        </is>
      </c>
      <c r="Q60" t="inlineStr">
        <is>
          <t>Throat</t>
        </is>
      </c>
      <c r="R60" t="inlineStr">
        <is>
          <t>Third Eye</t>
        </is>
      </c>
      <c r="S60" t="inlineStr">
        <is>
          <t>Throat</t>
        </is>
      </c>
      <c r="X60" t="inlineStr">
        <is>
          <t>Mineral</t>
        </is>
      </c>
      <c r="Z60" s="3" t="inlineStr">
        <is>
          <t>Gentle conversations that need clarity</t>
        </is>
      </c>
      <c r="AA60" s="3" t="inlineStr">
        <is>
          <t>Use when you need to speak clearly but want the conversation to remain gentle and emotionally manageable.</t>
        </is>
      </c>
      <c r="AB60" s="3" t="n"/>
      <c r="AC60" t="inlineStr">
        <is>
          <t>Communication</t>
        </is>
      </c>
      <c r="AD60" t="inlineStr">
        <is>
          <t>Calm &amp; Peace</t>
        </is>
      </c>
      <c r="AF60" t="inlineStr">
        <is>
          <t>["Communication","Calm","Compassion"]</t>
        </is>
      </c>
      <c r="AK60" t="b">
        <v>0</v>
      </c>
      <c r="AL60" t="inlineStr">
        <is>
          <t>Unreviewed</t>
        </is>
      </c>
      <c r="AM60" t="inlineStr">
        <is>
          <t>Not Started</t>
        </is>
      </c>
      <c r="AN60" t="inlineStr">
        <is>
          <t>Not Started</t>
        </is>
      </c>
      <c r="AO60" t="inlineStr">
        <is>
          <t>Not Started</t>
        </is>
      </c>
      <c r="AP60" t="inlineStr">
        <is>
          <t>Not Started</t>
        </is>
      </c>
      <c r="AR60" t="inlineStr">
        <is>
          <t>v0.3-2026-06-29</t>
        </is>
      </c>
      <c r="AT60" s="3" t="n"/>
    </row>
    <row r="61">
      <c r="A61" t="inlineStr">
        <is>
          <t>C-0031</t>
        </is>
      </c>
      <c r="B61" t="inlineStr">
        <is>
          <t>Blue Fluorite</t>
        </is>
      </c>
      <c r="D61" t="inlineStr">
        <is>
          <t>Fluorite</t>
        </is>
      </c>
      <c r="E61" t="inlineStr">
        <is>
          <t>Fluorite</t>
        </is>
      </c>
      <c r="F61" t="n">
        <v>2</v>
      </c>
      <c r="G61" t="n">
        <v>5</v>
      </c>
      <c r="H61" t="n">
        <v>31</v>
      </c>
      <c r="I61" t="n">
        <v>31</v>
      </c>
      <c r="J61" t="inlineStr">
        <is>
          <t>Blue Chert</t>
        </is>
      </c>
      <c r="K61" t="inlineStr">
        <is>
          <t>blue-chert</t>
        </is>
      </c>
      <c r="L61" t="inlineStr">
        <is>
          <t>Blue Halite</t>
        </is>
      </c>
      <c r="M61" t="inlineStr">
        <is>
          <t>blue-halite</t>
        </is>
      </c>
      <c r="N61" t="b">
        <v>0</v>
      </c>
      <c r="O61" t="inlineStr">
        <is>
          <t>blue-fluorite</t>
        </is>
      </c>
      <c r="P61" t="inlineStr">
        <is>
          <t>Not Started</t>
        </is>
      </c>
      <c r="Q61" t="inlineStr">
        <is>
          <t>Throat</t>
        </is>
      </c>
      <c r="R61" t="inlineStr">
        <is>
          <t>Third Eye</t>
        </is>
      </c>
      <c r="S61" t="inlineStr">
        <is>
          <t>Throat</t>
        </is>
      </c>
      <c r="X61" t="inlineStr">
        <is>
          <t>Mineral</t>
        </is>
      </c>
      <c r="Z61" s="3" t="inlineStr">
        <is>
          <t>Organized expression</t>
        </is>
      </c>
      <c r="AA61" s="3" t="inlineStr">
        <is>
          <t>Use when your thoughts make sense internally but become tangled when you try to explain them.</t>
        </is>
      </c>
      <c r="AB61" s="3" t="n"/>
      <c r="AC61" t="inlineStr">
        <is>
          <t>Clarity &amp; Focus</t>
        </is>
      </c>
      <c r="AD61" t="inlineStr">
        <is>
          <t>Calm &amp; Peace</t>
        </is>
      </c>
      <c r="AE61" t="inlineStr">
        <is>
          <t>Communication</t>
        </is>
      </c>
      <c r="AF61" t="inlineStr">
        <is>
          <t>["Clarity","Communication","Focus"]</t>
        </is>
      </c>
      <c r="AK61" t="b">
        <v>0</v>
      </c>
      <c r="AL61" t="inlineStr">
        <is>
          <t>Unreviewed</t>
        </is>
      </c>
      <c r="AM61" t="inlineStr">
        <is>
          <t>Not Started</t>
        </is>
      </c>
      <c r="AN61" t="inlineStr">
        <is>
          <t>Not Started</t>
        </is>
      </c>
      <c r="AO61" t="inlineStr">
        <is>
          <t>Not Started</t>
        </is>
      </c>
      <c r="AP61" t="inlineStr">
        <is>
          <t>Not Started</t>
        </is>
      </c>
      <c r="AR61" t="inlineStr">
        <is>
          <t>v0.3-2026-06-29</t>
        </is>
      </c>
      <c r="AT61" s="3" t="n"/>
    </row>
    <row r="62">
      <c r="A62" t="inlineStr">
        <is>
          <t>C-0064</t>
        </is>
      </c>
      <c r="B62" t="inlineStr">
        <is>
          <t>Blue Kyanite</t>
        </is>
      </c>
      <c r="D62" t="inlineStr">
        <is>
          <t>Kyanite</t>
        </is>
      </c>
      <c r="E62" t="inlineStr">
        <is>
          <t>Kyanite</t>
        </is>
      </c>
      <c r="F62" t="n">
        <v>2</v>
      </c>
      <c r="G62" t="n">
        <v>5</v>
      </c>
      <c r="H62" t="n">
        <v>64</v>
      </c>
      <c r="I62" t="n">
        <v>64</v>
      </c>
      <c r="J62" t="inlineStr">
        <is>
          <t>Blue Halite</t>
        </is>
      </c>
      <c r="K62" t="inlineStr">
        <is>
          <t>blue-halite</t>
        </is>
      </c>
      <c r="L62" t="inlineStr">
        <is>
          <t>Blue Lace Agate</t>
        </is>
      </c>
      <c r="M62" t="inlineStr">
        <is>
          <t>blue-lace-agate</t>
        </is>
      </c>
      <c r="N62" t="b">
        <v>0</v>
      </c>
      <c r="O62" t="inlineStr">
        <is>
          <t>blue-kyanite</t>
        </is>
      </c>
      <c r="P62" t="inlineStr">
        <is>
          <t>Not Started</t>
        </is>
      </c>
      <c r="Q62" t="inlineStr">
        <is>
          <t>Throat</t>
        </is>
      </c>
      <c r="R62" t="inlineStr">
        <is>
          <t>Third Eye</t>
        </is>
      </c>
      <c r="S62" t="inlineStr">
        <is>
          <t>Throat</t>
        </is>
      </c>
      <c r="X62" t="inlineStr">
        <is>
          <t>Mineral</t>
        </is>
      </c>
      <c r="Z62" s="3" t="inlineStr">
        <is>
          <t>Aligned communication</t>
        </is>
      </c>
      <c r="AA62" s="3" t="inlineStr">
        <is>
          <t>Use when you need your words, intentions, and actions to tell the same honest story.</t>
        </is>
      </c>
      <c r="AB62" s="3" t="n"/>
      <c r="AC62" t="inlineStr">
        <is>
          <t>Clarity &amp; Focus</t>
        </is>
      </c>
      <c r="AD62" t="inlineStr">
        <is>
          <t>Communication</t>
        </is>
      </c>
      <c r="AF62" t="inlineStr">
        <is>
          <t>["Communication","Truth","Clarity"]</t>
        </is>
      </c>
      <c r="AK62" t="b">
        <v>0</v>
      </c>
      <c r="AL62" t="inlineStr">
        <is>
          <t>Unreviewed</t>
        </is>
      </c>
      <c r="AM62" t="inlineStr">
        <is>
          <t>Not Started</t>
        </is>
      </c>
      <c r="AN62" t="inlineStr">
        <is>
          <t>Not Started</t>
        </is>
      </c>
      <c r="AO62" t="inlineStr">
        <is>
          <t>Not Started</t>
        </is>
      </c>
      <c r="AP62" t="inlineStr">
        <is>
          <t>Not Started</t>
        </is>
      </c>
      <c r="AR62" t="inlineStr">
        <is>
          <t>v0.3-2026-06-29</t>
        </is>
      </c>
      <c r="AT62" s="3" t="n"/>
    </row>
    <row r="63">
      <c r="A63" t="inlineStr">
        <is>
          <t>C-0069</t>
        </is>
      </c>
      <c r="B63" t="inlineStr">
        <is>
          <t>Blue Lace Agate</t>
        </is>
      </c>
      <c r="D63" t="inlineStr">
        <is>
          <t>Quartz</t>
        </is>
      </c>
      <c r="E63" t="inlineStr">
        <is>
          <t>Quartz</t>
        </is>
      </c>
      <c r="F63" t="n">
        <v>2</v>
      </c>
      <c r="G63" t="n">
        <v>6</v>
      </c>
      <c r="H63" t="n">
        <v>69</v>
      </c>
      <c r="I63" t="n">
        <v>69</v>
      </c>
      <c r="J63" t="inlineStr">
        <is>
          <t>Blue Kyanite</t>
        </is>
      </c>
      <c r="K63" t="inlineStr">
        <is>
          <t>blue-kyanite</t>
        </is>
      </c>
      <c r="L63" t="inlineStr">
        <is>
          <t>Blue Opal</t>
        </is>
      </c>
      <c r="M63" t="inlineStr">
        <is>
          <t>blue-opal</t>
        </is>
      </c>
      <c r="N63" t="b">
        <v>0</v>
      </c>
      <c r="O63" t="inlineStr">
        <is>
          <t>blue-lace-agate</t>
        </is>
      </c>
      <c r="P63" t="inlineStr">
        <is>
          <t>Not Started</t>
        </is>
      </c>
      <c r="Q63" t="inlineStr">
        <is>
          <t>Throat</t>
        </is>
      </c>
      <c r="S63" t="inlineStr">
        <is>
          <t>Throat</t>
        </is>
      </c>
      <c r="X63" t="inlineStr">
        <is>
          <t>Mineral</t>
        </is>
      </c>
      <c r="Z63" s="3" t="inlineStr">
        <is>
          <t>Reassuring expression</t>
        </is>
      </c>
      <c r="AA63" s="3" t="inlineStr">
        <is>
          <t>Use when you are afraid your voice will shake, disappear, or become sharper than you intend.</t>
        </is>
      </c>
      <c r="AB63" s="3" t="n"/>
      <c r="AC63" t="inlineStr">
        <is>
          <t>Calm &amp; Peace</t>
        </is>
      </c>
      <c r="AD63" t="inlineStr">
        <is>
          <t>Communication</t>
        </is>
      </c>
      <c r="AF63" t="inlineStr">
        <is>
          <t>["Calm","Communication","Peace"]</t>
        </is>
      </c>
      <c r="AK63" t="b">
        <v>0</v>
      </c>
      <c r="AL63" t="inlineStr">
        <is>
          <t>Unreviewed</t>
        </is>
      </c>
      <c r="AM63" t="inlineStr">
        <is>
          <t>Not Started</t>
        </is>
      </c>
      <c r="AN63" t="inlineStr">
        <is>
          <t>Not Started</t>
        </is>
      </c>
      <c r="AO63" t="inlineStr">
        <is>
          <t>Not Started</t>
        </is>
      </c>
      <c r="AP63" t="inlineStr">
        <is>
          <t>Not Started</t>
        </is>
      </c>
      <c r="AR63" t="inlineStr">
        <is>
          <t>v0.3-2026-06-29</t>
        </is>
      </c>
      <c r="AT63" s="3" t="n"/>
    </row>
    <row r="64">
      <c r="A64" t="inlineStr">
        <is>
          <t>C-0167</t>
        </is>
      </c>
      <c r="B64" t="inlineStr">
        <is>
          <t>Blue Tiger's Eye</t>
        </is>
      </c>
      <c r="C64" t="inlineStr">
        <is>
          <t>Hawk's Eye</t>
        </is>
      </c>
      <c r="D64" t="inlineStr">
        <is>
          <t>Tiger's Eye</t>
        </is>
      </c>
      <c r="E64" t="inlineStr">
        <is>
          <t>Tiger's Eye</t>
        </is>
      </c>
      <c r="F64" t="n">
        <v>2</v>
      </c>
      <c r="G64" t="n">
        <v>6</v>
      </c>
      <c r="H64" t="n">
        <v>167</v>
      </c>
      <c r="I64" t="n">
        <v>167</v>
      </c>
      <c r="J64" t="inlineStr">
        <is>
          <t>Blue Rose Quartz</t>
        </is>
      </c>
      <c r="K64" t="inlineStr">
        <is>
          <t>blue-rose-quartz</t>
        </is>
      </c>
      <c r="L64" t="inlineStr">
        <is>
          <t>Blue Topaz</t>
        </is>
      </c>
      <c r="M64" t="inlineStr">
        <is>
          <t>blue-topaz</t>
        </is>
      </c>
      <c r="N64" t="b">
        <v>0</v>
      </c>
      <c r="O64" t="inlineStr">
        <is>
          <t>blue-tiger-s-eye</t>
        </is>
      </c>
      <c r="P64" t="inlineStr">
        <is>
          <t>Not Started</t>
        </is>
      </c>
      <c r="Q64" t="inlineStr">
        <is>
          <t>Third Eye</t>
        </is>
      </c>
      <c r="R64" t="inlineStr">
        <is>
          <t>Throat</t>
        </is>
      </c>
      <c r="S64" t="inlineStr">
        <is>
          <t>Third Eye</t>
        </is>
      </c>
      <c r="X64" t="inlineStr">
        <is>
          <t>Mineral variety</t>
        </is>
      </c>
      <c r="Z64" s="3" t="inlineStr">
        <is>
          <t>Calm strategy</t>
        </is>
      </c>
      <c r="AA64" s="3" t="inlineStr">
        <is>
          <t>Use when you need to watch, assess, and understand before revealing your position or making a move.</t>
        </is>
      </c>
      <c r="AB64" s="3" t="n"/>
      <c r="AC64" t="inlineStr">
        <is>
          <t>Protection</t>
        </is>
      </c>
      <c r="AD64" t="inlineStr">
        <is>
          <t>Calm &amp; Peace</t>
        </is>
      </c>
      <c r="AF64" t="inlineStr">
        <is>
          <t>["Clarity","Protection","Discernment"]</t>
        </is>
      </c>
      <c r="AK64" t="b">
        <v>0</v>
      </c>
      <c r="AL64" t="inlineStr">
        <is>
          <t>Unreviewed</t>
        </is>
      </c>
      <c r="AM64" t="inlineStr">
        <is>
          <t>Not Started</t>
        </is>
      </c>
      <c r="AN64" t="inlineStr">
        <is>
          <t>Not Started</t>
        </is>
      </c>
      <c r="AO64" t="inlineStr">
        <is>
          <t>Not Started</t>
        </is>
      </c>
      <c r="AP64" t="inlineStr">
        <is>
          <t>Not Started</t>
        </is>
      </c>
      <c r="AR64" t="inlineStr">
        <is>
          <t>v0.3-2026-06-29</t>
        </is>
      </c>
      <c r="AT64" s="3" t="n"/>
    </row>
    <row r="65">
      <c r="A65" t="inlineStr">
        <is>
          <t>C-0331</t>
        </is>
      </c>
      <c r="B65" t="inlineStr">
        <is>
          <t>Bornite</t>
        </is>
      </c>
      <c r="C65" t="inlineStr">
        <is>
          <t>Peacock Ore</t>
        </is>
      </c>
      <c r="D65" t="inlineStr">
        <is>
          <t>Sulfides</t>
        </is>
      </c>
      <c r="E65" t="inlineStr">
        <is>
          <t>Bornite</t>
        </is>
      </c>
      <c r="F65" t="n">
        <v>2</v>
      </c>
      <c r="G65" t="n">
        <v>6</v>
      </c>
      <c r="H65" t="n">
        <v>331</v>
      </c>
      <c r="I65" t="n">
        <v>331</v>
      </c>
      <c r="J65" t="inlineStr">
        <is>
          <t>Boji Stones</t>
        </is>
      </c>
      <c r="K65" t="inlineStr">
        <is>
          <t>boji-stones</t>
        </is>
      </c>
      <c r="L65" t="inlineStr">
        <is>
          <t>Botswana Agate</t>
        </is>
      </c>
      <c r="M65" t="inlineStr">
        <is>
          <t>botswana-agate</t>
        </is>
      </c>
      <c r="N65" t="b">
        <v>0</v>
      </c>
      <c r="O65" t="inlineStr">
        <is>
          <t>bornite</t>
        </is>
      </c>
      <c r="P65" t="inlineStr">
        <is>
          <t>Not Started</t>
        </is>
      </c>
      <c r="Q65" t="inlineStr">
        <is>
          <t>Solar Plexus</t>
        </is>
      </c>
      <c r="R65" t="inlineStr">
        <is>
          <t>Crown</t>
        </is>
      </c>
      <c r="S65" t="inlineStr">
        <is>
          <t>Solar Plexus</t>
        </is>
      </c>
      <c r="X65" t="inlineStr">
        <is>
          <t>Mineral</t>
        </is>
      </c>
      <c r="Z65" s="3" t="inlineStr">
        <is>
          <t>Creative confidence</t>
        </is>
      </c>
      <c r="AA65" s="3" t="inlineStr">
        <is>
          <t>Use when you need permission to be expressive, unconventional, or visibly enthusiastic.</t>
        </is>
      </c>
      <c r="AB65" s="3" t="n"/>
      <c r="AC65" t="inlineStr">
        <is>
          <t>Joy</t>
        </is>
      </c>
      <c r="AD65" t="inlineStr">
        <is>
          <t>Manifestation</t>
        </is>
      </c>
      <c r="AF65" t="inlineStr">
        <is>
          <t>["Joy","Creativity","Uplift"]</t>
        </is>
      </c>
      <c r="AK65" t="b">
        <v>0</v>
      </c>
      <c r="AL65" t="inlineStr">
        <is>
          <t>Unreviewed</t>
        </is>
      </c>
      <c r="AM65" t="inlineStr">
        <is>
          <t>Not Started</t>
        </is>
      </c>
      <c r="AN65" t="inlineStr">
        <is>
          <t>Not Started</t>
        </is>
      </c>
      <c r="AO65" t="inlineStr">
        <is>
          <t>Not Started</t>
        </is>
      </c>
      <c r="AP65" t="inlineStr">
        <is>
          <t>Not Started</t>
        </is>
      </c>
      <c r="AR65" t="inlineStr">
        <is>
          <t>v0.3-2026-06-29</t>
        </is>
      </c>
      <c r="AT65" s="3" t="n"/>
    </row>
    <row r="66">
      <c r="A66" t="inlineStr">
        <is>
          <t>C-0070</t>
        </is>
      </c>
      <c r="B66" t="inlineStr">
        <is>
          <t>Botswana Agate</t>
        </is>
      </c>
      <c r="D66" t="inlineStr">
        <is>
          <t>Quartz</t>
        </is>
      </c>
      <c r="E66" t="inlineStr">
        <is>
          <t>Quartz</t>
        </is>
      </c>
      <c r="F66" t="n">
        <v>2</v>
      </c>
      <c r="G66" t="n">
        <v>6</v>
      </c>
      <c r="H66" t="n">
        <v>70</v>
      </c>
      <c r="I66" t="n">
        <v>70</v>
      </c>
      <c r="J66" t="inlineStr">
        <is>
          <t>Bornite</t>
        </is>
      </c>
      <c r="K66" t="inlineStr">
        <is>
          <t>bornite</t>
        </is>
      </c>
      <c r="L66" t="inlineStr">
        <is>
          <t>Brandberg Amethyst</t>
        </is>
      </c>
      <c r="M66" t="inlineStr">
        <is>
          <t>brandberg-amethyst</t>
        </is>
      </c>
      <c r="N66" t="b">
        <v>0</v>
      </c>
      <c r="O66" t="inlineStr">
        <is>
          <t>botswana-agate</t>
        </is>
      </c>
      <c r="P66" t="inlineStr">
        <is>
          <t>Not Started</t>
        </is>
      </c>
      <c r="Q66" t="inlineStr">
        <is>
          <t>Root</t>
        </is>
      </c>
      <c r="R66" t="inlineStr">
        <is>
          <t>Crown</t>
        </is>
      </c>
      <c r="S66" t="inlineStr">
        <is>
          <t>Root</t>
        </is>
      </c>
      <c r="X66" t="inlineStr">
        <is>
          <t>Mineral</t>
        </is>
      </c>
      <c r="Z66" s="3" t="inlineStr">
        <is>
          <t>Steady perspective</t>
        </is>
      </c>
      <c r="AA66" s="3" t="inlineStr">
        <is>
          <t>Use when a situation contains several truths and you need enough calm to hold them without rushing toward a simple answer.</t>
        </is>
      </c>
      <c r="AB66" s="3" t="n"/>
      <c r="AC66" t="inlineStr">
        <is>
          <t>Emotional Balance</t>
        </is>
      </c>
      <c r="AD66" t="inlineStr">
        <is>
          <t>Calm &amp; Peace</t>
        </is>
      </c>
      <c r="AE66" t="inlineStr">
        <is>
          <t>Grounding</t>
        </is>
      </c>
      <c r="AF66" t="inlineStr">
        <is>
          <t>["Balance","Calm","Grounding"]</t>
        </is>
      </c>
      <c r="AK66" t="b">
        <v>0</v>
      </c>
      <c r="AL66" t="inlineStr">
        <is>
          <t>Unreviewed</t>
        </is>
      </c>
      <c r="AM66" t="inlineStr">
        <is>
          <t>Not Started</t>
        </is>
      </c>
      <c r="AN66" t="inlineStr">
        <is>
          <t>Not Started</t>
        </is>
      </c>
      <c r="AO66" t="inlineStr">
        <is>
          <t>Not Started</t>
        </is>
      </c>
      <c r="AP66" t="inlineStr">
        <is>
          <t>Not Started</t>
        </is>
      </c>
      <c r="AR66" t="inlineStr">
        <is>
          <t>v0.3-2026-06-29</t>
        </is>
      </c>
      <c r="AT66" s="3" t="n"/>
    </row>
    <row r="67">
      <c r="A67" t="inlineStr">
        <is>
          <t>C-0087</t>
        </is>
      </c>
      <c r="B67" t="inlineStr">
        <is>
          <t>Brecciated Jasper</t>
        </is>
      </c>
      <c r="D67" t="inlineStr">
        <is>
          <t>Quartz</t>
        </is>
      </c>
      <c r="E67" t="inlineStr">
        <is>
          <t>Quartz</t>
        </is>
      </c>
      <c r="F67" t="n">
        <v>2</v>
      </c>
      <c r="G67" t="n">
        <v>6</v>
      </c>
      <c r="H67" t="n">
        <v>87</v>
      </c>
      <c r="I67" t="n">
        <v>87</v>
      </c>
      <c r="J67" t="inlineStr">
        <is>
          <t>Brandberg Amethyst</t>
        </is>
      </c>
      <c r="K67" t="inlineStr">
        <is>
          <t>brandberg-amethyst</t>
        </is>
      </c>
      <c r="L67" t="inlineStr">
        <is>
          <t>Bronzite</t>
        </is>
      </c>
      <c r="M67" t="inlineStr">
        <is>
          <t>bronzite</t>
        </is>
      </c>
      <c r="N67" t="b">
        <v>0</v>
      </c>
      <c r="O67" t="inlineStr">
        <is>
          <t>brecciated-jasper</t>
        </is>
      </c>
      <c r="P67" t="inlineStr">
        <is>
          <t>Not Started</t>
        </is>
      </c>
      <c r="Q67" t="inlineStr">
        <is>
          <t>Root</t>
        </is>
      </c>
      <c r="R67" t="inlineStr">
        <is>
          <t>Solar Plexus</t>
        </is>
      </c>
      <c r="S67" t="inlineStr">
        <is>
          <t>Root</t>
        </is>
      </c>
      <c r="X67" t="inlineStr">
        <is>
          <t>Mineral</t>
        </is>
      </c>
      <c r="Z67" s="3" t="inlineStr">
        <is>
          <t>Resilient recovery</t>
        </is>
      </c>
      <c r="AA67" s="3" t="inlineStr">
        <is>
          <t>Use when you are putting yourself back together after a difficult experience and need to trust the repair process.</t>
        </is>
      </c>
      <c r="AB67" s="3" t="n"/>
      <c r="AC67" t="inlineStr">
        <is>
          <t>Vitality</t>
        </is>
      </c>
      <c r="AD67" t="inlineStr">
        <is>
          <t>Grounding</t>
        </is>
      </c>
      <c r="AE67" t="inlineStr">
        <is>
          <t>Clarity &amp; Focus</t>
        </is>
      </c>
      <c r="AF67" t="inlineStr">
        <is>
          <t>["Resilience","Grounding","Recovery"]</t>
        </is>
      </c>
      <c r="AK67" t="b">
        <v>0</v>
      </c>
      <c r="AL67" t="inlineStr">
        <is>
          <t>Unreviewed</t>
        </is>
      </c>
      <c r="AM67" t="inlineStr">
        <is>
          <t>Not Started</t>
        </is>
      </c>
      <c r="AN67" t="inlineStr">
        <is>
          <t>Not Started</t>
        </is>
      </c>
      <c r="AO67" t="inlineStr">
        <is>
          <t>Not Started</t>
        </is>
      </c>
      <c r="AP67" t="inlineStr">
        <is>
          <t>Not Started</t>
        </is>
      </c>
      <c r="AR67" t="inlineStr">
        <is>
          <t>v0.3-2026-06-29</t>
        </is>
      </c>
      <c r="AT67" s="3" t="n"/>
    </row>
    <row r="68">
      <c r="A68" t="inlineStr">
        <is>
          <t>C-0248</t>
        </is>
      </c>
      <c r="B68" t="inlineStr">
        <is>
          <t>Bronzite</t>
        </is>
      </c>
      <c r="D68" t="inlineStr">
        <is>
          <t>Silicates</t>
        </is>
      </c>
      <c r="E68" t="inlineStr">
        <is>
          <t>Enstatite</t>
        </is>
      </c>
      <c r="F68" t="n">
        <v>2</v>
      </c>
      <c r="G68" t="n">
        <v>6</v>
      </c>
      <c r="H68" t="n">
        <v>248</v>
      </c>
      <c r="I68" t="n">
        <v>248</v>
      </c>
      <c r="J68" t="inlineStr">
        <is>
          <t>Brecciated Jasper</t>
        </is>
      </c>
      <c r="K68" t="inlineStr">
        <is>
          <t>brecciated-jasper</t>
        </is>
      </c>
      <c r="L68" t="inlineStr">
        <is>
          <t>Brookite</t>
        </is>
      </c>
      <c r="M68" t="inlineStr">
        <is>
          <t>brookite</t>
        </is>
      </c>
      <c r="N68" t="b">
        <v>0</v>
      </c>
      <c r="O68" t="inlineStr">
        <is>
          <t>bronzite</t>
        </is>
      </c>
      <c r="P68" t="inlineStr">
        <is>
          <t>Not Started</t>
        </is>
      </c>
      <c r="Q68" t="inlineStr">
        <is>
          <t>Root</t>
        </is>
      </c>
      <c r="R68" t="inlineStr">
        <is>
          <t>Solar Plexus</t>
        </is>
      </c>
      <c r="S68" t="inlineStr">
        <is>
          <t>Root</t>
        </is>
      </c>
      <c r="X68" t="inlineStr">
        <is>
          <t>Mineral</t>
        </is>
      </c>
      <c r="Z68" s="3" t="inlineStr">
        <is>
          <t>Firm resolve</t>
        </is>
      </c>
      <c r="AA68" s="3" t="inlineStr">
        <is>
          <t>Use when you know your decision is sound but feel pressured to explain, soften, or abandon it.</t>
        </is>
      </c>
      <c r="AB68" s="3" t="n"/>
      <c r="AC68" t="inlineStr">
        <is>
          <t>Grounding</t>
        </is>
      </c>
      <c r="AD68" t="inlineStr">
        <is>
          <t>Protection</t>
        </is>
      </c>
      <c r="AE68" t="inlineStr">
        <is>
          <t>Confidence</t>
        </is>
      </c>
      <c r="AF68" t="inlineStr">
        <is>
          <t>["Grounding","Protection","Confidence"]</t>
        </is>
      </c>
      <c r="AK68" t="b">
        <v>0</v>
      </c>
      <c r="AL68" t="inlineStr">
        <is>
          <t>Unreviewed</t>
        </is>
      </c>
      <c r="AM68" t="inlineStr">
        <is>
          <t>Not Started</t>
        </is>
      </c>
      <c r="AN68" t="inlineStr">
        <is>
          <t>Not Started</t>
        </is>
      </c>
      <c r="AO68" t="inlineStr">
        <is>
          <t>Not Started</t>
        </is>
      </c>
      <c r="AP68" t="inlineStr">
        <is>
          <t>Not Started</t>
        </is>
      </c>
      <c r="AR68" t="inlineStr">
        <is>
          <t>v0.3-2026-06-29</t>
        </is>
      </c>
      <c r="AT68" s="3" t="n"/>
    </row>
    <row r="69">
      <c r="A69" t="inlineStr">
        <is>
          <t>C-0009</t>
        </is>
      </c>
      <c r="B69" t="inlineStr">
        <is>
          <t>Caribbean Calcite</t>
        </is>
      </c>
      <c r="D69" t="inlineStr">
        <is>
          <t>Calcite</t>
        </is>
      </c>
      <c r="E69" t="inlineStr">
        <is>
          <t>Calcite</t>
        </is>
      </c>
      <c r="F69" t="n">
        <v>2</v>
      </c>
      <c r="G69" t="n">
        <v>6</v>
      </c>
      <c r="H69" t="n">
        <v>9</v>
      </c>
      <c r="I69" t="n">
        <v>9</v>
      </c>
      <c r="J69" t="inlineStr">
        <is>
          <t>Calligraphy Stone</t>
        </is>
      </c>
      <c r="K69" t="inlineStr">
        <is>
          <t>calligraphy-stone</t>
        </is>
      </c>
      <c r="L69" t="inlineStr">
        <is>
          <t>Carnelian</t>
        </is>
      </c>
      <c r="M69" t="inlineStr">
        <is>
          <t>carnelian</t>
        </is>
      </c>
      <c r="N69" t="b">
        <v>0</v>
      </c>
      <c r="O69" t="inlineStr">
        <is>
          <t>caribbean-calcite</t>
        </is>
      </c>
      <c r="P69" t="inlineStr">
        <is>
          <t>Not Started</t>
        </is>
      </c>
      <c r="Q69" t="inlineStr">
        <is>
          <t>Third Eye</t>
        </is>
      </c>
      <c r="R69" t="inlineStr">
        <is>
          <t>Throat</t>
        </is>
      </c>
      <c r="S69" t="inlineStr">
        <is>
          <t>Third Eye</t>
        </is>
      </c>
      <c r="X69" t="inlineStr">
        <is>
          <t>Mineral</t>
        </is>
      </c>
      <c r="Z69" s="3" t="inlineStr">
        <is>
          <t>Restful reflection</t>
        </is>
      </c>
      <c r="AA69" s="3" t="inlineStr">
        <is>
          <t>Use when you need to step out of problem-solving mode and let your thoughts become quieter and more spacious.</t>
        </is>
      </c>
      <c r="AB69" s="3" t="n"/>
      <c r="AC69" t="inlineStr">
        <is>
          <t>Emotional Balance</t>
        </is>
      </c>
      <c r="AD69" t="inlineStr">
        <is>
          <t>Calm &amp; Peace</t>
        </is>
      </c>
      <c r="AF69" t="inlineStr">
        <is>
          <t>["Calm","Intuition","Rest"]</t>
        </is>
      </c>
      <c r="AK69" t="b">
        <v>0</v>
      </c>
      <c r="AL69" t="inlineStr">
        <is>
          <t>Unreviewed</t>
        </is>
      </c>
      <c r="AM69" t="inlineStr">
        <is>
          <t>Not Started</t>
        </is>
      </c>
      <c r="AN69" t="inlineStr">
        <is>
          <t>Not Started</t>
        </is>
      </c>
      <c r="AO69" t="inlineStr">
        <is>
          <t>Not Started</t>
        </is>
      </c>
      <c r="AP69" t="inlineStr">
        <is>
          <t>Not Started</t>
        </is>
      </c>
      <c r="AR69" t="inlineStr">
        <is>
          <t>v0.3-2026-06-29</t>
        </is>
      </c>
      <c r="AT69" s="3" t="n"/>
    </row>
    <row r="70">
      <c r="A70" t="inlineStr">
        <is>
          <t>C-0221</t>
        </is>
      </c>
      <c r="B70" t="inlineStr">
        <is>
          <t>Celestite</t>
        </is>
      </c>
      <c r="C70" t="inlineStr">
        <is>
          <t>Celestine</t>
        </is>
      </c>
      <c r="D70" t="inlineStr">
        <is>
          <t>Other Mineral</t>
        </is>
      </c>
      <c r="E70" t="inlineStr">
        <is>
          <t>Celestite</t>
        </is>
      </c>
      <c r="F70" t="n">
        <v>2</v>
      </c>
      <c r="G70" t="n">
        <v>6</v>
      </c>
      <c r="H70" t="n">
        <v>221</v>
      </c>
      <c r="I70" t="n">
        <v>221</v>
      </c>
      <c r="J70" t="inlineStr">
        <is>
          <t>Cavansite</t>
        </is>
      </c>
      <c r="K70" t="inlineStr">
        <is>
          <t>cavansite</t>
        </is>
      </c>
      <c r="L70" t="inlineStr">
        <is>
          <t>Chalcopyrite</t>
        </is>
      </c>
      <c r="M70" t="inlineStr">
        <is>
          <t>chalcopyrite</t>
        </is>
      </c>
      <c r="N70" t="b">
        <v>0</v>
      </c>
      <c r="O70" t="inlineStr">
        <is>
          <t>celestite</t>
        </is>
      </c>
      <c r="P70" t="inlineStr">
        <is>
          <t>Not Started</t>
        </is>
      </c>
      <c r="Q70" t="inlineStr">
        <is>
          <t>Crown</t>
        </is>
      </c>
      <c r="R70" t="inlineStr">
        <is>
          <t>Throat</t>
        </is>
      </c>
      <c r="S70" t="inlineStr">
        <is>
          <t>Crown</t>
        </is>
      </c>
      <c r="X70" t="inlineStr">
        <is>
          <t>Mineral</t>
        </is>
      </c>
      <c r="Z70" s="3" t="inlineStr">
        <is>
          <t>Quiet trust</t>
        </is>
      </c>
      <c r="AA70" s="3" t="inlineStr">
        <is>
          <t>Use when you cannot control the outcome and need to meet uncertainty with greater calm and openness.</t>
        </is>
      </c>
      <c r="AB70" s="3" t="n"/>
      <c r="AC70" t="inlineStr">
        <is>
          <t>Calm &amp; Peace</t>
        </is>
      </c>
      <c r="AD70" t="inlineStr">
        <is>
          <t>Spiritual Connection</t>
        </is>
      </c>
      <c r="AF70" t="inlineStr">
        <is>
          <t>["Peace","Spirit","Meditation"]</t>
        </is>
      </c>
      <c r="AK70" t="b">
        <v>0</v>
      </c>
      <c r="AL70" t="inlineStr">
        <is>
          <t>Unreviewed</t>
        </is>
      </c>
      <c r="AM70" t="inlineStr">
        <is>
          <t>Not Started</t>
        </is>
      </c>
      <c r="AN70" t="inlineStr">
        <is>
          <t>Not Started</t>
        </is>
      </c>
      <c r="AO70" t="inlineStr">
        <is>
          <t>Not Started</t>
        </is>
      </c>
      <c r="AP70" t="inlineStr">
        <is>
          <t>Not Started</t>
        </is>
      </c>
      <c r="AR70" t="inlineStr">
        <is>
          <t>v0.3-2026-06-29</t>
        </is>
      </c>
      <c r="AT70" s="3" t="n"/>
    </row>
    <row r="71">
      <c r="A71" t="inlineStr">
        <is>
          <t>C-0292</t>
        </is>
      </c>
      <c r="B71" t="inlineStr">
        <is>
          <t>Chalcopyrite</t>
        </is>
      </c>
      <c r="D71" t="inlineStr">
        <is>
          <t>Sulfides</t>
        </is>
      </c>
      <c r="E71" t="inlineStr">
        <is>
          <t>Chalcopyrite</t>
        </is>
      </c>
      <c r="F71" t="n">
        <v>2</v>
      </c>
      <c r="G71" t="n">
        <v>6</v>
      </c>
      <c r="H71" t="n">
        <v>292</v>
      </c>
      <c r="I71" t="n">
        <v>292</v>
      </c>
      <c r="J71" t="inlineStr">
        <is>
          <t>Celestite</t>
        </is>
      </c>
      <c r="K71" t="inlineStr">
        <is>
          <t>celestite</t>
        </is>
      </c>
      <c r="L71" t="inlineStr">
        <is>
          <t>Charoite</t>
        </is>
      </c>
      <c r="M71" t="inlineStr">
        <is>
          <t>charoite</t>
        </is>
      </c>
      <c r="N71" t="b">
        <v>0</v>
      </c>
      <c r="O71" t="inlineStr">
        <is>
          <t>chalcopyrite</t>
        </is>
      </c>
      <c r="P71" t="inlineStr">
        <is>
          <t>Not Started</t>
        </is>
      </c>
      <c r="Q71" t="inlineStr">
        <is>
          <t>Solar Plexus</t>
        </is>
      </c>
      <c r="R71" t="inlineStr">
        <is>
          <t>Crown</t>
        </is>
      </c>
      <c r="S71" t="inlineStr">
        <is>
          <t>Solar Plexus</t>
        </is>
      </c>
      <c r="X71" t="inlineStr">
        <is>
          <t>Mineral</t>
        </is>
      </c>
      <c r="Z71" s="3" t="inlineStr">
        <is>
          <t>Opportunity awareness</t>
        </is>
      </c>
      <c r="AA71" s="3" t="inlineStr">
        <is>
          <t>Use when discouragement is making you overlook an option that deserves a closer look.</t>
        </is>
      </c>
      <c r="AB71" s="3" t="n"/>
      <c r="AC71" t="inlineStr">
        <is>
          <t>Confidence</t>
        </is>
      </c>
      <c r="AD71" t="inlineStr">
        <is>
          <t>Manifestation</t>
        </is>
      </c>
      <c r="AF71" t="inlineStr">
        <is>
          <t>["Abundance","Confidence","Uplift"]</t>
        </is>
      </c>
      <c r="AK71" t="b">
        <v>0</v>
      </c>
      <c r="AL71" t="inlineStr">
        <is>
          <t>Unreviewed</t>
        </is>
      </c>
      <c r="AM71" t="inlineStr">
        <is>
          <t>Not Started</t>
        </is>
      </c>
      <c r="AN71" t="inlineStr">
        <is>
          <t>Not Started</t>
        </is>
      </c>
      <c r="AO71" t="inlineStr">
        <is>
          <t>Not Started</t>
        </is>
      </c>
      <c r="AP71" t="inlineStr">
        <is>
          <t>Not Started</t>
        </is>
      </c>
      <c r="AR71" t="inlineStr">
        <is>
          <t>v0.3-2026-06-29</t>
        </is>
      </c>
      <c r="AT71" s="3" t="n"/>
    </row>
    <row r="72">
      <c r="A72" t="inlineStr">
        <is>
          <t>C-0154</t>
        </is>
      </c>
      <c r="B72" t="inlineStr">
        <is>
          <t>Chevron Amethyst</t>
        </is>
      </c>
      <c r="D72" t="inlineStr">
        <is>
          <t>Quartz</t>
        </is>
      </c>
      <c r="E72" t="inlineStr">
        <is>
          <t>Quartz</t>
        </is>
      </c>
      <c r="F72" t="n">
        <v>2</v>
      </c>
      <c r="G72" t="n">
        <v>7</v>
      </c>
      <c r="H72" t="n">
        <v>154</v>
      </c>
      <c r="I72" t="n">
        <v>154</v>
      </c>
      <c r="J72" t="inlineStr">
        <is>
          <t>Charoite</t>
        </is>
      </c>
      <c r="K72" t="inlineStr">
        <is>
          <t>charoite</t>
        </is>
      </c>
      <c r="L72" t="inlineStr">
        <is>
          <t>Chiastolite</t>
        </is>
      </c>
      <c r="M72" t="inlineStr">
        <is>
          <t>chiastolite</t>
        </is>
      </c>
      <c r="N72" t="b">
        <v>0</v>
      </c>
      <c r="O72" t="inlineStr">
        <is>
          <t>chevron-amethyst</t>
        </is>
      </c>
      <c r="P72" t="inlineStr">
        <is>
          <t>Not Started</t>
        </is>
      </c>
      <c r="Q72" t="inlineStr">
        <is>
          <t>Third Eye</t>
        </is>
      </c>
      <c r="R72" t="inlineStr">
        <is>
          <t>Crown</t>
        </is>
      </c>
      <c r="S72" t="inlineStr">
        <is>
          <t>Third Eye</t>
        </is>
      </c>
      <c r="X72" t="inlineStr">
        <is>
          <t>Mineral</t>
        </is>
      </c>
      <c r="Z72" s="3" t="inlineStr">
        <is>
          <t>Pattern clarity</t>
        </is>
      </c>
      <c r="AA72" s="3" t="inlineStr">
        <is>
          <t>Use when the same thought keeps returning and you need to understand the pattern beneath it.</t>
        </is>
      </c>
      <c r="AB72" s="3" t="n"/>
      <c r="AC72" t="inlineStr">
        <is>
          <t>Grounding</t>
        </is>
      </c>
      <c r="AD72" t="inlineStr">
        <is>
          <t>Clarity &amp; Focus</t>
        </is>
      </c>
      <c r="AF72" t="inlineStr">
        <is>
          <t>["Clarity","Intuition","Focus"]</t>
        </is>
      </c>
      <c r="AK72" t="b">
        <v>0</v>
      </c>
      <c r="AL72" t="inlineStr">
        <is>
          <t>Unreviewed</t>
        </is>
      </c>
      <c r="AM72" t="inlineStr">
        <is>
          <t>Not Started</t>
        </is>
      </c>
      <c r="AN72" t="inlineStr">
        <is>
          <t>Not Started</t>
        </is>
      </c>
      <c r="AO72" t="inlineStr">
        <is>
          <t>Not Started</t>
        </is>
      </c>
      <c r="AP72" t="inlineStr">
        <is>
          <t>Not Started</t>
        </is>
      </c>
      <c r="AR72" t="inlineStr">
        <is>
          <t>v0.3-2026-06-29</t>
        </is>
      </c>
      <c r="AT72" s="3" t="n"/>
    </row>
    <row r="73">
      <c r="A73" t="inlineStr">
        <is>
          <t>C-0052</t>
        </is>
      </c>
      <c r="B73" t="inlineStr">
        <is>
          <t>Chrysocolla</t>
        </is>
      </c>
      <c r="D73" t="inlineStr">
        <is>
          <t>Copper Minerals</t>
        </is>
      </c>
      <c r="E73" t="inlineStr">
        <is>
          <t>Chrysocolla</t>
        </is>
      </c>
      <c r="F73" t="n">
        <v>2</v>
      </c>
      <c r="G73" t="n">
        <v>7</v>
      </c>
      <c r="H73" t="n">
        <v>52</v>
      </c>
      <c r="I73" t="n">
        <v>52</v>
      </c>
      <c r="J73" t="inlineStr">
        <is>
          <t>Chrysoberyl</t>
        </is>
      </c>
      <c r="K73" t="inlineStr">
        <is>
          <t>chrysoberyl</t>
        </is>
      </c>
      <c r="L73" t="inlineStr">
        <is>
          <t>Chrysoprase</t>
        </is>
      </c>
      <c r="M73" t="inlineStr">
        <is>
          <t>chrysoprase</t>
        </is>
      </c>
      <c r="N73" t="b">
        <v>0</v>
      </c>
      <c r="O73" t="inlineStr">
        <is>
          <t>chrysocolla</t>
        </is>
      </c>
      <c r="P73" t="inlineStr">
        <is>
          <t>Not Started</t>
        </is>
      </c>
      <c r="Q73" t="inlineStr">
        <is>
          <t>Throat</t>
        </is>
      </c>
      <c r="R73" t="inlineStr">
        <is>
          <t>Heart</t>
        </is>
      </c>
      <c r="S73" t="inlineStr">
        <is>
          <t>Throat</t>
        </is>
      </c>
      <c r="X73" t="inlineStr">
        <is>
          <t>Mineral</t>
        </is>
      </c>
      <c r="Z73" s="3" t="inlineStr">
        <is>
          <t>Compassionate truth</t>
        </is>
      </c>
      <c r="AA73" s="3" t="inlineStr">
        <is>
          <t>Use when silence no longer feels healthy but you want honesty to create understanding rather than further harm.</t>
        </is>
      </c>
      <c r="AB73" s="3" t="n"/>
      <c r="AC73" t="inlineStr">
        <is>
          <t>Communication</t>
        </is>
      </c>
      <c r="AD73" t="inlineStr">
        <is>
          <t>Calm &amp; Peace</t>
        </is>
      </c>
      <c r="AF73" t="inlineStr">
        <is>
          <t>["Communication","Compassion","Truth"]</t>
        </is>
      </c>
      <c r="AK73" t="b">
        <v>0</v>
      </c>
      <c r="AL73" t="inlineStr">
        <is>
          <t>Unreviewed</t>
        </is>
      </c>
      <c r="AM73" t="inlineStr">
        <is>
          <t>Not Started</t>
        </is>
      </c>
      <c r="AN73" t="inlineStr">
        <is>
          <t>Not Started</t>
        </is>
      </c>
      <c r="AO73" t="inlineStr">
        <is>
          <t>Not Started</t>
        </is>
      </c>
      <c r="AP73" t="inlineStr">
        <is>
          <t>Not Started</t>
        </is>
      </c>
      <c r="AR73" t="inlineStr">
        <is>
          <t>v0.3-2026-06-29</t>
        </is>
      </c>
      <c r="AT73" s="3" t="n"/>
    </row>
    <row r="74">
      <c r="A74" t="inlineStr">
        <is>
          <t>C-0155</t>
        </is>
      </c>
      <c r="B74" t="inlineStr">
        <is>
          <t>Chrysoprase</t>
        </is>
      </c>
      <c r="D74" t="inlineStr">
        <is>
          <t>Aggregate</t>
        </is>
      </c>
      <c r="E74" t="inlineStr">
        <is>
          <t>Chalcedony</t>
        </is>
      </c>
      <c r="F74" t="n">
        <v>2</v>
      </c>
      <c r="G74" t="n">
        <v>7</v>
      </c>
      <c r="H74" t="n">
        <v>155</v>
      </c>
      <c r="I74" t="n">
        <v>155</v>
      </c>
      <c r="J74" t="inlineStr">
        <is>
          <t>Chrysocolla</t>
        </is>
      </c>
      <c r="K74" t="inlineStr">
        <is>
          <t>chrysocolla</t>
        </is>
      </c>
      <c r="L74" t="inlineStr">
        <is>
          <t>Cinnabrite</t>
        </is>
      </c>
      <c r="M74" t="inlineStr">
        <is>
          <t>cinnabrite</t>
        </is>
      </c>
      <c r="N74" t="b">
        <v>0</v>
      </c>
      <c r="O74" t="inlineStr">
        <is>
          <t>chrysoprase</t>
        </is>
      </c>
      <c r="P74" t="inlineStr">
        <is>
          <t>Not Started</t>
        </is>
      </c>
      <c r="Q74" t="inlineStr">
        <is>
          <t>Heart</t>
        </is>
      </c>
      <c r="S74" t="inlineStr">
        <is>
          <t>Heart</t>
        </is>
      </c>
      <c r="X74" t="inlineStr">
        <is>
          <t>Mineral variety</t>
        </is>
      </c>
      <c r="Z74" s="3" t="inlineStr">
        <is>
          <t>Renewed hope</t>
        </is>
      </c>
      <c r="AA74" s="3" t="inlineStr">
        <is>
          <t>Use when disappointment has made you question your worth or your willingness to begin again.</t>
        </is>
      </c>
      <c r="AB74" s="3" t="n"/>
      <c r="AC74" t="inlineStr">
        <is>
          <t>Joy</t>
        </is>
      </c>
      <c r="AD74" t="inlineStr">
        <is>
          <t>Heart Healing</t>
        </is>
      </c>
      <c r="AF74" t="inlineStr">
        <is>
          <t>["Renewal","Hope","Worth"]</t>
        </is>
      </c>
      <c r="AK74" t="b">
        <v>0</v>
      </c>
      <c r="AL74" t="inlineStr">
        <is>
          <t>Unreviewed</t>
        </is>
      </c>
      <c r="AM74" t="inlineStr">
        <is>
          <t>Not Started</t>
        </is>
      </c>
      <c r="AN74" t="inlineStr">
        <is>
          <t>Not Started</t>
        </is>
      </c>
      <c r="AO74" t="inlineStr">
        <is>
          <t>Not Started</t>
        </is>
      </c>
      <c r="AP74" t="inlineStr">
        <is>
          <t>Not Started</t>
        </is>
      </c>
      <c r="AR74" t="inlineStr">
        <is>
          <t>v0.3-2026-06-29</t>
        </is>
      </c>
      <c r="AT74" s="3" t="n"/>
    </row>
    <row r="75">
      <c r="A75" t="inlineStr">
        <is>
          <t>C-0071</t>
        </is>
      </c>
      <c r="B75" t="inlineStr">
        <is>
          <t>Crazy Lace Agate</t>
        </is>
      </c>
      <c r="D75" t="inlineStr">
        <is>
          <t>Quartz</t>
        </is>
      </c>
      <c r="E75" t="inlineStr">
        <is>
          <t>Quartz</t>
        </is>
      </c>
      <c r="F75" t="n">
        <v>2</v>
      </c>
      <c r="G75" t="n">
        <v>7</v>
      </c>
      <c r="H75" t="n">
        <v>71</v>
      </c>
      <c r="I75" t="n">
        <v>71</v>
      </c>
      <c r="J75" t="inlineStr">
        <is>
          <t>Crackle Quartz</t>
        </is>
      </c>
      <c r="K75" t="inlineStr">
        <is>
          <t>crackle-quartz</t>
        </is>
      </c>
      <c r="L75" t="inlineStr">
        <is>
          <t>Creedite</t>
        </is>
      </c>
      <c r="M75" t="inlineStr">
        <is>
          <t>creedite</t>
        </is>
      </c>
      <c r="N75" t="b">
        <v>0</v>
      </c>
      <c r="O75" t="inlineStr">
        <is>
          <t>crazy-lace-agate</t>
        </is>
      </c>
      <c r="P75" t="inlineStr">
        <is>
          <t>Not Started</t>
        </is>
      </c>
      <c r="Q75" t="inlineStr">
        <is>
          <t>Solar Plexus</t>
        </is>
      </c>
      <c r="R75" t="inlineStr">
        <is>
          <t>Third Eye</t>
        </is>
      </c>
      <c r="S75" t="inlineStr">
        <is>
          <t>Solar Plexus</t>
        </is>
      </c>
      <c r="X75" t="inlineStr">
        <is>
          <t>Mineral</t>
        </is>
      </c>
      <c r="Z75" s="3" t="inlineStr">
        <is>
          <t>Resilient optimism</t>
        </is>
      </c>
      <c r="AA75" s="3" t="inlineStr">
        <is>
          <t>Use when life feels overly serious and you need permission to recover some lightness without denying the difficulty.</t>
        </is>
      </c>
      <c r="AB75" s="3" t="n"/>
      <c r="AC75" t="inlineStr">
        <is>
          <t>Joy</t>
        </is>
      </c>
      <c r="AF75" t="inlineStr">
        <is>
          <t>["Joy","Resilience","Playfulness"]</t>
        </is>
      </c>
      <c r="AK75" t="b">
        <v>0</v>
      </c>
      <c r="AL75" t="inlineStr">
        <is>
          <t>Unreviewed</t>
        </is>
      </c>
      <c r="AM75" t="inlineStr">
        <is>
          <t>Not Started</t>
        </is>
      </c>
      <c r="AN75" t="inlineStr">
        <is>
          <t>Not Started</t>
        </is>
      </c>
      <c r="AO75" t="inlineStr">
        <is>
          <t>Not Started</t>
        </is>
      </c>
      <c r="AP75" t="inlineStr">
        <is>
          <t>Not Started</t>
        </is>
      </c>
      <c r="AR75" t="inlineStr">
        <is>
          <t>v0.3-2026-06-29</t>
        </is>
      </c>
      <c r="AT75" s="3" t="n"/>
    </row>
    <row r="76">
      <c r="A76" t="inlineStr">
        <is>
          <t>C-0088</t>
        </is>
      </c>
      <c r="B76" t="inlineStr">
        <is>
          <t>Dalmatian Jasper</t>
        </is>
      </c>
      <c r="D76" t="inlineStr">
        <is>
          <t>Quartz</t>
        </is>
      </c>
      <c r="E76" t="inlineStr">
        <is>
          <t>Quartz</t>
        </is>
      </c>
      <c r="F76" t="n">
        <v>2</v>
      </c>
      <c r="G76" t="n">
        <v>7</v>
      </c>
      <c r="H76" t="n">
        <v>88</v>
      </c>
      <c r="I76" t="n">
        <v>88</v>
      </c>
      <c r="J76" t="inlineStr">
        <is>
          <t>Cuprite</t>
        </is>
      </c>
      <c r="K76" t="inlineStr">
        <is>
          <t>cuprite</t>
        </is>
      </c>
      <c r="L76" t="inlineStr">
        <is>
          <t>Danburite</t>
        </is>
      </c>
      <c r="M76" t="inlineStr">
        <is>
          <t>danburite</t>
        </is>
      </c>
      <c r="N76" t="b">
        <v>0</v>
      </c>
      <c r="O76" t="inlineStr">
        <is>
          <t>dalmatian-jasper</t>
        </is>
      </c>
      <c r="P76" t="inlineStr">
        <is>
          <t>Not Started</t>
        </is>
      </c>
      <c r="Q76" t="inlineStr">
        <is>
          <t>Root</t>
        </is>
      </c>
      <c r="R76" t="inlineStr">
        <is>
          <t>Sacral</t>
        </is>
      </c>
      <c r="S76" t="inlineStr">
        <is>
          <t>Root</t>
        </is>
      </c>
      <c r="X76" t="inlineStr">
        <is>
          <t>Rock</t>
        </is>
      </c>
      <c r="Z76" s="3" t="inlineStr">
        <is>
          <t>Grounded playfulness</t>
        </is>
      </c>
      <c r="AA76" s="3" t="inlineStr">
        <is>
          <t>Use when responsibility has crowded out curiosity, humor, or the freedom to enjoy the moment.</t>
        </is>
      </c>
      <c r="AB76" s="3" t="n"/>
      <c r="AC76" t="inlineStr">
        <is>
          <t>Joy</t>
        </is>
      </c>
      <c r="AF76" t="inlineStr">
        <is>
          <t>["Joy","Grounding","Playfulness"]</t>
        </is>
      </c>
      <c r="AK76" t="b">
        <v>0</v>
      </c>
      <c r="AL76" t="inlineStr">
        <is>
          <t>Unreviewed</t>
        </is>
      </c>
      <c r="AM76" t="inlineStr">
        <is>
          <t>Not Started</t>
        </is>
      </c>
      <c r="AN76" t="inlineStr">
        <is>
          <t>Not Started</t>
        </is>
      </c>
      <c r="AO76" t="inlineStr">
        <is>
          <t>Not Started</t>
        </is>
      </c>
      <c r="AP76" t="inlineStr">
        <is>
          <t>Not Started</t>
        </is>
      </c>
      <c r="AR76" t="inlineStr">
        <is>
          <t>v0.3-2026-06-29</t>
        </is>
      </c>
      <c r="AT76" s="3" t="n"/>
    </row>
    <row r="77">
      <c r="A77" t="inlineStr">
        <is>
          <t>C-0072</t>
        </is>
      </c>
      <c r="B77" t="inlineStr">
        <is>
          <t>Dendritic Agate</t>
        </is>
      </c>
      <c r="D77" t="inlineStr">
        <is>
          <t>Quartz</t>
        </is>
      </c>
      <c r="E77" t="inlineStr">
        <is>
          <t>Quartz</t>
        </is>
      </c>
      <c r="F77" t="n">
        <v>2</v>
      </c>
      <c r="G77" t="n">
        <v>7</v>
      </c>
      <c r="H77" t="n">
        <v>72</v>
      </c>
      <c r="I77" t="n">
        <v>72</v>
      </c>
      <c r="J77" t="inlineStr">
        <is>
          <t>Danburite</t>
        </is>
      </c>
      <c r="K77" t="inlineStr">
        <is>
          <t>danburite</t>
        </is>
      </c>
      <c r="L77" t="inlineStr">
        <is>
          <t>Desert Rose</t>
        </is>
      </c>
      <c r="M77" t="inlineStr">
        <is>
          <t>desert-rose</t>
        </is>
      </c>
      <c r="N77" t="b">
        <v>0</v>
      </c>
      <c r="O77" t="inlineStr">
        <is>
          <t>dendritic-agate</t>
        </is>
      </c>
      <c r="P77" t="inlineStr">
        <is>
          <t>Not Started</t>
        </is>
      </c>
      <c r="Q77" t="inlineStr">
        <is>
          <t>Root</t>
        </is>
      </c>
      <c r="R77" t="inlineStr">
        <is>
          <t>Earth Star</t>
        </is>
      </c>
      <c r="S77" t="inlineStr">
        <is>
          <t>Root</t>
        </is>
      </c>
      <c r="X77" t="inlineStr">
        <is>
          <t>Mineral</t>
        </is>
      </c>
      <c r="Z77" s="3" t="inlineStr">
        <is>
          <t>Patient growth</t>
        </is>
      </c>
      <c r="AA77" s="3" t="inlineStr">
        <is>
          <t>Use when progress feels slow and you need to remember that important growth is often quiet before it becomes visible.</t>
        </is>
      </c>
      <c r="AB77" s="3" t="n"/>
      <c r="AC77" t="inlineStr">
        <is>
          <t>Grounding</t>
        </is>
      </c>
      <c r="AD77" t="inlineStr">
        <is>
          <t>Transformation</t>
        </is>
      </c>
      <c r="AF77" t="inlineStr">
        <is>
          <t>["Growth","Patience","Grounding"]</t>
        </is>
      </c>
      <c r="AK77" t="b">
        <v>0</v>
      </c>
      <c r="AL77" t="inlineStr">
        <is>
          <t>Unreviewed</t>
        </is>
      </c>
      <c r="AM77" t="inlineStr">
        <is>
          <t>Not Started</t>
        </is>
      </c>
      <c r="AN77" t="inlineStr">
        <is>
          <t>Not Started</t>
        </is>
      </c>
      <c r="AO77" t="inlineStr">
        <is>
          <t>Not Started</t>
        </is>
      </c>
      <c r="AP77" t="inlineStr">
        <is>
          <t>Not Started</t>
        </is>
      </c>
      <c r="AR77" t="inlineStr">
        <is>
          <t>v0.3-2026-06-29</t>
        </is>
      </c>
      <c r="AT77" s="3" t="n"/>
    </row>
    <row r="78">
      <c r="A78" t="inlineStr">
        <is>
          <t>C-0172</t>
        </is>
      </c>
      <c r="B78" t="inlineStr">
        <is>
          <t>Desert Rose</t>
        </is>
      </c>
      <c r="D78" t="inlineStr">
        <is>
          <t>Aggregate</t>
        </is>
      </c>
      <c r="E78" t="inlineStr">
        <is>
          <t>Gypsum; Sand</t>
        </is>
      </c>
      <c r="F78" t="n">
        <v>2</v>
      </c>
      <c r="G78" t="n">
        <v>7</v>
      </c>
      <c r="H78" t="n">
        <v>172</v>
      </c>
      <c r="I78" t="n">
        <v>172</v>
      </c>
      <c r="J78" t="inlineStr">
        <is>
          <t>Dendritic Agate</t>
        </is>
      </c>
      <c r="K78" t="inlineStr">
        <is>
          <t>dendritic-agate</t>
        </is>
      </c>
      <c r="L78" t="inlineStr">
        <is>
          <t>Diaspore</t>
        </is>
      </c>
      <c r="M78" t="inlineStr">
        <is>
          <t>diaspore</t>
        </is>
      </c>
      <c r="N78" t="b">
        <v>0</v>
      </c>
      <c r="O78" t="inlineStr">
        <is>
          <t>desert-rose</t>
        </is>
      </c>
      <c r="P78" t="inlineStr">
        <is>
          <t>Not Started</t>
        </is>
      </c>
      <c r="Q78" t="inlineStr">
        <is>
          <t>Crown</t>
        </is>
      </c>
      <c r="S78" t="inlineStr">
        <is>
          <t>Crown</t>
        </is>
      </c>
      <c r="X78" t="inlineStr">
        <is>
          <t>Mineral</t>
        </is>
      </c>
      <c r="Z78" s="3" t="inlineStr">
        <is>
          <t>Grounded clarity</t>
        </is>
      </c>
      <c r="AA78" s="3" t="inlineStr">
        <is>
          <t>Use when circumstances feel dry, difficult, or unwelcoming and you need to remember that growth can still take form.</t>
        </is>
      </c>
      <c r="AB78" s="3" t="n"/>
      <c r="AC78" t="inlineStr">
        <is>
          <t>Clarity &amp; Focus</t>
        </is>
      </c>
      <c r="AD78" t="inlineStr">
        <is>
          <t>Calm &amp; Peace</t>
        </is>
      </c>
      <c r="AF78" t="inlineStr">
        <is>
          <t>["Clarity","Grounding","Resilience"]</t>
        </is>
      </c>
      <c r="AK78" t="b">
        <v>0</v>
      </c>
      <c r="AL78" t="inlineStr">
        <is>
          <t>Unreviewed</t>
        </is>
      </c>
      <c r="AM78" t="inlineStr">
        <is>
          <t>Not Started</t>
        </is>
      </c>
      <c r="AN78" t="inlineStr">
        <is>
          <t>Not Started</t>
        </is>
      </c>
      <c r="AO78" t="inlineStr">
        <is>
          <t>Not Started</t>
        </is>
      </c>
      <c r="AP78" t="inlineStr">
        <is>
          <t>Not Started</t>
        </is>
      </c>
      <c r="AR78" t="inlineStr">
        <is>
          <t>v0.3-2026-06-29</t>
        </is>
      </c>
      <c r="AT78" s="3" t="n"/>
    </row>
    <row r="79">
      <c r="A79" t="inlineStr">
        <is>
          <t>C-0237</t>
        </is>
      </c>
      <c r="B79" t="inlineStr">
        <is>
          <t>Dolomite</t>
        </is>
      </c>
      <c r="D79" t="inlineStr">
        <is>
          <t>Carbonates</t>
        </is>
      </c>
      <c r="E79" t="inlineStr">
        <is>
          <t>Dolomite</t>
        </is>
      </c>
      <c r="F79" t="n">
        <v>2</v>
      </c>
      <c r="G79" t="n">
        <v>7</v>
      </c>
      <c r="H79" t="n">
        <v>237</v>
      </c>
      <c r="I79" t="n">
        <v>237</v>
      </c>
      <c r="J79" t="inlineStr">
        <is>
          <t>Dioptase</t>
        </is>
      </c>
      <c r="K79" t="inlineStr">
        <is>
          <t>dioptase</t>
        </is>
      </c>
      <c r="L79" t="inlineStr">
        <is>
          <t>Dragon's Blood Jasper</t>
        </is>
      </c>
      <c r="M79" t="inlineStr">
        <is>
          <t>dragon-s-blood-jasper</t>
        </is>
      </c>
      <c r="N79" t="b">
        <v>0</v>
      </c>
      <c r="O79" t="inlineStr">
        <is>
          <t>dolomite</t>
        </is>
      </c>
      <c r="P79" t="inlineStr">
        <is>
          <t>Not Started</t>
        </is>
      </c>
      <c r="Q79" t="inlineStr">
        <is>
          <t>Heart</t>
        </is>
      </c>
      <c r="R79" t="inlineStr">
        <is>
          <t>Root</t>
        </is>
      </c>
      <c r="S79" t="inlineStr">
        <is>
          <t>Heart</t>
        </is>
      </c>
      <c r="X79" t="inlineStr">
        <is>
          <t>Mineral</t>
        </is>
      </c>
      <c r="Z79" s="3" t="inlineStr">
        <is>
          <t>Receiving support</t>
        </is>
      </c>
      <c r="AA79" s="3" t="inlineStr">
        <is>
          <t>Use when you are carrying more than necessary because accepting help feels uncomfortable or undeserved.</t>
        </is>
      </c>
      <c r="AB79" s="3" t="n"/>
      <c r="AC79" t="inlineStr">
        <is>
          <t>Calm &amp; Peace</t>
        </is>
      </c>
      <c r="AD79" t="inlineStr">
        <is>
          <t>Grounding</t>
        </is>
      </c>
      <c r="AF79" t="inlineStr">
        <is>
          <t>["Calm","Acceptance","Patience"]</t>
        </is>
      </c>
      <c r="AK79" t="b">
        <v>0</v>
      </c>
      <c r="AL79" t="inlineStr">
        <is>
          <t>Unreviewed</t>
        </is>
      </c>
      <c r="AM79" t="inlineStr">
        <is>
          <t>Not Started</t>
        </is>
      </c>
      <c r="AN79" t="inlineStr">
        <is>
          <t>Not Started</t>
        </is>
      </c>
      <c r="AO79" t="inlineStr">
        <is>
          <t>Not Started</t>
        </is>
      </c>
      <c r="AP79" t="inlineStr">
        <is>
          <t>Not Started</t>
        </is>
      </c>
      <c r="AR79" t="inlineStr">
        <is>
          <t>v0.3-2026-06-29</t>
        </is>
      </c>
      <c r="AT79" s="3" t="n"/>
    </row>
    <row r="80">
      <c r="A80" t="inlineStr">
        <is>
          <t>C-0089</t>
        </is>
      </c>
      <c r="B80" t="inlineStr">
        <is>
          <t>Dragon's Blood Jasper</t>
        </is>
      </c>
      <c r="D80" t="inlineStr">
        <is>
          <t>Quartz</t>
        </is>
      </c>
      <c r="E80" t="inlineStr">
        <is>
          <t>Quartz</t>
        </is>
      </c>
      <c r="F80" t="n">
        <v>2</v>
      </c>
      <c r="G80" t="n">
        <v>8</v>
      </c>
      <c r="H80" t="n">
        <v>89</v>
      </c>
      <c r="I80" t="n">
        <v>89</v>
      </c>
      <c r="J80" t="inlineStr">
        <is>
          <t>Dolomite</t>
        </is>
      </c>
      <c r="K80" t="inlineStr">
        <is>
          <t>dolomite</t>
        </is>
      </c>
      <c r="L80" t="inlineStr">
        <is>
          <t>Dream Quartz</t>
        </is>
      </c>
      <c r="M80" t="inlineStr">
        <is>
          <t>dream-quartz</t>
        </is>
      </c>
      <c r="N80" t="b">
        <v>0</v>
      </c>
      <c r="O80" t="inlineStr">
        <is>
          <t>dragon-s-blood-jasper</t>
        </is>
      </c>
      <c r="P80" t="inlineStr">
        <is>
          <t>Not Started</t>
        </is>
      </c>
      <c r="Q80" t="inlineStr">
        <is>
          <t>Heart</t>
        </is>
      </c>
      <c r="S80" t="inlineStr">
        <is>
          <t>Heart</t>
        </is>
      </c>
      <c r="X80" t="inlineStr">
        <is>
          <t>Mineral</t>
        </is>
      </c>
      <c r="Z80" s="3" t="inlineStr">
        <is>
          <t>Renewed strength</t>
        </is>
      </c>
      <c r="AA80" s="3" t="inlineStr">
        <is>
          <t>Use when you need to recover your strength without closing yourself off emotionally.</t>
        </is>
      </c>
      <c r="AB80" s="3" t="n"/>
      <c r="AC80" t="inlineStr">
        <is>
          <t>Confidence</t>
        </is>
      </c>
      <c r="AD80" t="inlineStr">
        <is>
          <t>Vitality</t>
        </is>
      </c>
      <c r="AE80" t="inlineStr">
        <is>
          <t>Transformation</t>
        </is>
      </c>
      <c r="AF80" t="inlineStr">
        <is>
          <t>["Courage","Strength","Growth"]</t>
        </is>
      </c>
      <c r="AK80" t="b">
        <v>0</v>
      </c>
      <c r="AL80" t="inlineStr">
        <is>
          <t>Unreviewed</t>
        </is>
      </c>
      <c r="AM80" t="inlineStr">
        <is>
          <t>Not Started</t>
        </is>
      </c>
      <c r="AN80" t="inlineStr">
        <is>
          <t>Not Started</t>
        </is>
      </c>
      <c r="AO80" t="inlineStr">
        <is>
          <t>Not Started</t>
        </is>
      </c>
      <c r="AP80" t="inlineStr">
        <is>
          <t>Not Started</t>
        </is>
      </c>
      <c r="AR80" t="inlineStr">
        <is>
          <t>v0.3-2026-06-29</t>
        </is>
      </c>
      <c r="AT80" s="3" t="n"/>
    </row>
    <row r="81">
      <c r="A81" t="inlineStr">
        <is>
          <t>C-0054</t>
        </is>
      </c>
      <c r="B81" t="inlineStr">
        <is>
          <t>Dumortierite</t>
        </is>
      </c>
      <c r="D81" t="inlineStr">
        <is>
          <t>Silicates</t>
        </is>
      </c>
      <c r="E81" t="inlineStr">
        <is>
          <t>Dumortierite</t>
        </is>
      </c>
      <c r="F81" t="n">
        <v>2</v>
      </c>
      <c r="G81" t="n">
        <v>8</v>
      </c>
      <c r="H81" t="n">
        <v>54</v>
      </c>
      <c r="I81" t="n">
        <v>54</v>
      </c>
      <c r="J81" t="inlineStr">
        <is>
          <t>Druzy Agate</t>
        </is>
      </c>
      <c r="K81" t="inlineStr">
        <is>
          <t>druzy-agate</t>
        </is>
      </c>
      <c r="L81" t="inlineStr">
        <is>
          <t>Elestial Quartz</t>
        </is>
      </c>
      <c r="M81" t="inlineStr">
        <is>
          <t>elestial-quartz</t>
        </is>
      </c>
      <c r="N81" t="b">
        <v>0</v>
      </c>
      <c r="O81" t="inlineStr">
        <is>
          <t>dumortierite</t>
        </is>
      </c>
      <c r="P81" t="inlineStr">
        <is>
          <t>Not Started</t>
        </is>
      </c>
      <c r="Q81" t="inlineStr">
        <is>
          <t>Third Eye</t>
        </is>
      </c>
      <c r="S81" t="inlineStr">
        <is>
          <t>Third Eye</t>
        </is>
      </c>
      <c r="X81" t="inlineStr">
        <is>
          <t>Mineral</t>
        </is>
      </c>
      <c r="Z81" s="3" t="inlineStr">
        <is>
          <t>Patient mastery</t>
        </is>
      </c>
      <c r="AA81" s="3" t="inlineStr">
        <is>
          <t>Use when learning feels slow and you are tempted to confuse difficulty with inability.</t>
        </is>
      </c>
      <c r="AB81" s="3" t="n"/>
      <c r="AC81" t="inlineStr">
        <is>
          <t>Clarity &amp; Focus</t>
        </is>
      </c>
      <c r="AD81" t="inlineStr">
        <is>
          <t>Calm &amp; Peace</t>
        </is>
      </c>
      <c r="AF81" t="inlineStr">
        <is>
          <t>["Discipline","Focus","Patience"]</t>
        </is>
      </c>
      <c r="AK81" t="b">
        <v>0</v>
      </c>
      <c r="AL81" t="inlineStr">
        <is>
          <t>Unreviewed</t>
        </is>
      </c>
      <c r="AM81" t="inlineStr">
        <is>
          <t>Not Started</t>
        </is>
      </c>
      <c r="AN81" t="inlineStr">
        <is>
          <t>Not Started</t>
        </is>
      </c>
      <c r="AO81" t="inlineStr">
        <is>
          <t>Not Started</t>
        </is>
      </c>
      <c r="AP81" t="inlineStr">
        <is>
          <t>Not Started</t>
        </is>
      </c>
      <c r="AR81" t="inlineStr">
        <is>
          <t>v0.3-2026-06-29</t>
        </is>
      </c>
      <c r="AT81" s="3" t="n"/>
    </row>
    <row r="82">
      <c r="A82" t="inlineStr">
        <is>
          <t>C-0238</t>
        </is>
      </c>
      <c r="B82" t="inlineStr">
        <is>
          <t>Epidote</t>
        </is>
      </c>
      <c r="D82" t="inlineStr">
        <is>
          <t>Silicates</t>
        </is>
      </c>
      <c r="E82" t="inlineStr">
        <is>
          <t>Epidote</t>
        </is>
      </c>
      <c r="F82" t="n">
        <v>2</v>
      </c>
      <c r="G82" t="n">
        <v>8</v>
      </c>
      <c r="H82" t="n">
        <v>238</v>
      </c>
      <c r="I82" t="n">
        <v>238</v>
      </c>
      <c r="J82" t="inlineStr">
        <is>
          <t>Enhydro Quartz</t>
        </is>
      </c>
      <c r="K82" t="inlineStr">
        <is>
          <t>enhydro-quartz</t>
        </is>
      </c>
      <c r="L82" t="inlineStr">
        <is>
          <t>Eudialyte</t>
        </is>
      </c>
      <c r="M82" t="inlineStr">
        <is>
          <t>eudialyte</t>
        </is>
      </c>
      <c r="N82" t="b">
        <v>0</v>
      </c>
      <c r="O82" t="inlineStr">
        <is>
          <t>epidote</t>
        </is>
      </c>
      <c r="P82" t="inlineStr">
        <is>
          <t>Not Started</t>
        </is>
      </c>
      <c r="Q82" t="inlineStr">
        <is>
          <t>Heart</t>
        </is>
      </c>
      <c r="S82" t="inlineStr">
        <is>
          <t>Heart</t>
        </is>
      </c>
      <c r="X82" t="inlineStr">
        <is>
          <t>Mineral</t>
        </is>
      </c>
      <c r="Z82" s="3" t="inlineStr">
        <is>
          <t>Honest growth</t>
        </is>
      </c>
      <c r="AA82" s="3" t="inlineStr">
        <is>
          <t>Use when you want growth but keep avoiding the habit, belief, or responsibility that the next stage requires.</t>
        </is>
      </c>
      <c r="AB82" s="3" t="n"/>
      <c r="AC82" t="inlineStr">
        <is>
          <t>Transformation</t>
        </is>
      </c>
      <c r="AF82" t="inlineStr">
        <is>
          <t>["Growth","Transformation","Insight"]</t>
        </is>
      </c>
      <c r="AK82" t="b">
        <v>0</v>
      </c>
      <c r="AL82" t="inlineStr">
        <is>
          <t>Unreviewed</t>
        </is>
      </c>
      <c r="AM82" t="inlineStr">
        <is>
          <t>Not Started</t>
        </is>
      </c>
      <c r="AN82" t="inlineStr">
        <is>
          <t>Not Started</t>
        </is>
      </c>
      <c r="AO82" t="inlineStr">
        <is>
          <t>Not Started</t>
        </is>
      </c>
      <c r="AP82" t="inlineStr">
        <is>
          <t>Not Started</t>
        </is>
      </c>
      <c r="AR82" t="inlineStr">
        <is>
          <t>v0.3-2026-06-29</t>
        </is>
      </c>
      <c r="AT82" s="3" t="n"/>
    </row>
    <row r="83">
      <c r="A83" t="inlineStr">
        <is>
          <t>C-0075</t>
        </is>
      </c>
      <c r="B83" t="inlineStr">
        <is>
          <t>Flower Agate</t>
        </is>
      </c>
      <c r="D83" t="inlineStr">
        <is>
          <t>Quartz</t>
        </is>
      </c>
      <c r="E83" t="inlineStr">
        <is>
          <t>Quartz</t>
        </is>
      </c>
      <c r="F83" t="n">
        <v>2</v>
      </c>
      <c r="G83" t="n">
        <v>8</v>
      </c>
      <c r="H83" t="n">
        <v>75</v>
      </c>
      <c r="I83" t="n">
        <v>75</v>
      </c>
      <c r="J83" t="inlineStr">
        <is>
          <t>Fire Opal</t>
        </is>
      </c>
      <c r="K83" t="inlineStr">
        <is>
          <t>fire-opal</t>
        </is>
      </c>
      <c r="L83" t="inlineStr">
        <is>
          <t>Fossilized Coral</t>
        </is>
      </c>
      <c r="M83" t="inlineStr">
        <is>
          <t>fossilized-coral</t>
        </is>
      </c>
      <c r="N83" t="b">
        <v>0</v>
      </c>
      <c r="O83" t="inlineStr">
        <is>
          <t>flower-agate</t>
        </is>
      </c>
      <c r="P83" t="inlineStr">
        <is>
          <t>Not Started</t>
        </is>
      </c>
      <c r="Q83" t="inlineStr">
        <is>
          <t>Heart</t>
        </is>
      </c>
      <c r="R83" t="inlineStr">
        <is>
          <t>Root</t>
        </is>
      </c>
      <c r="S83" t="inlineStr">
        <is>
          <t>Heart</t>
        </is>
      </c>
      <c r="X83" t="inlineStr">
        <is>
          <t>Mineral</t>
        </is>
      </c>
      <c r="Z83" s="3" t="inlineStr">
        <is>
          <t>Emerging potential</t>
        </is>
      </c>
      <c r="AA83" s="3" t="inlineStr">
        <is>
          <t>Use when you are becoming someone new but feel impatient because the change is not yet fully visible.</t>
        </is>
      </c>
      <c r="AB83" s="3" t="n"/>
      <c r="AC83" t="inlineStr">
        <is>
          <t>Heart Healing</t>
        </is>
      </c>
      <c r="AD83" t="inlineStr">
        <is>
          <t>Self-Love</t>
        </is>
      </c>
      <c r="AF83" t="inlineStr">
        <is>
          <t>["Growth","Transformation","Confidence"]</t>
        </is>
      </c>
      <c r="AK83" t="b">
        <v>0</v>
      </c>
      <c r="AL83" t="inlineStr">
        <is>
          <t>Unreviewed</t>
        </is>
      </c>
      <c r="AM83" t="inlineStr">
        <is>
          <t>Not Started</t>
        </is>
      </c>
      <c r="AN83" t="inlineStr">
        <is>
          <t>Not Started</t>
        </is>
      </c>
      <c r="AO83" t="inlineStr">
        <is>
          <t>Not Started</t>
        </is>
      </c>
      <c r="AP83" t="inlineStr">
        <is>
          <t>Not Started</t>
        </is>
      </c>
      <c r="AR83" t="inlineStr">
        <is>
          <t>v0.3-2026-06-29</t>
        </is>
      </c>
      <c r="AT83" s="3" t="n"/>
    </row>
    <row r="84">
      <c r="A84" t="inlineStr">
        <is>
          <t>C-0308</t>
        </is>
      </c>
      <c r="B84" t="inlineStr">
        <is>
          <t>Fossilized Coral</t>
        </is>
      </c>
      <c r="C84" t="inlineStr">
        <is>
          <t>Agatized Coral</t>
        </is>
      </c>
      <c r="D84" t="inlineStr">
        <is>
          <t>Fossil Material</t>
        </is>
      </c>
      <c r="E84" t="inlineStr">
        <is>
          <t>Agatized Coral</t>
        </is>
      </c>
      <c r="F84" t="n">
        <v>2</v>
      </c>
      <c r="G84" t="n">
        <v>8</v>
      </c>
      <c r="H84" t="n">
        <v>308</v>
      </c>
      <c r="I84" t="n">
        <v>308</v>
      </c>
      <c r="J84" t="inlineStr">
        <is>
          <t>Flower Agate</t>
        </is>
      </c>
      <c r="K84" t="inlineStr">
        <is>
          <t>flower-agate</t>
        </is>
      </c>
      <c r="L84" t="inlineStr">
        <is>
          <t>Fuchsite</t>
        </is>
      </c>
      <c r="M84" t="inlineStr">
        <is>
          <t>fuchsite</t>
        </is>
      </c>
      <c r="N84" t="b">
        <v>0</v>
      </c>
      <c r="O84" t="inlineStr">
        <is>
          <t>fossilized-coral</t>
        </is>
      </c>
      <c r="P84" t="inlineStr">
        <is>
          <t>Not Started</t>
        </is>
      </c>
      <c r="Q84" t="inlineStr">
        <is>
          <t>Root</t>
        </is>
      </c>
      <c r="R84" t="inlineStr">
        <is>
          <t>Third Eye</t>
        </is>
      </c>
      <c r="S84" t="inlineStr">
        <is>
          <t>Root</t>
        </is>
      </c>
      <c r="X84" t="inlineStr">
        <is>
          <t>Fossil</t>
        </is>
      </c>
      <c r="Z84" s="3" t="inlineStr">
        <is>
          <t>Ancestral continuity</t>
        </is>
      </c>
      <c r="AA84" s="3" t="inlineStr">
        <is>
          <t>Use when you need perspective on how much time, repetition, and quiet adaptation meaningful change can require.</t>
        </is>
      </c>
      <c r="AB84" s="3" t="n"/>
      <c r="AC84" t="inlineStr">
        <is>
          <t>Grounding</t>
        </is>
      </c>
      <c r="AD84" t="inlineStr">
        <is>
          <t>Spiritual Connection</t>
        </is>
      </c>
      <c r="AF84" t="inlineStr">
        <is>
          <t>["Grounding","Wisdom","Patience"]</t>
        </is>
      </c>
      <c r="AK84" t="b">
        <v>0</v>
      </c>
      <c r="AL84" t="inlineStr">
        <is>
          <t>Unreviewed</t>
        </is>
      </c>
      <c r="AM84" t="inlineStr">
        <is>
          <t>Not Started</t>
        </is>
      </c>
      <c r="AN84" t="inlineStr">
        <is>
          <t>Not Started</t>
        </is>
      </c>
      <c r="AO84" t="inlineStr">
        <is>
          <t>Not Started</t>
        </is>
      </c>
      <c r="AP84" t="inlineStr">
        <is>
          <t>Not Started</t>
        </is>
      </c>
      <c r="AR84" t="inlineStr">
        <is>
          <t>v0.3-2026-06-29</t>
        </is>
      </c>
      <c r="AT84" s="3" t="n"/>
    </row>
    <row r="85">
      <c r="A85" t="inlineStr">
        <is>
          <t>C-0252</t>
        </is>
      </c>
      <c r="B85" t="inlineStr">
        <is>
          <t>Fuchsite</t>
        </is>
      </c>
      <c r="C85" t="inlineStr">
        <is>
          <t>Chrome Mica</t>
        </is>
      </c>
      <c r="D85" t="inlineStr">
        <is>
          <t>Silicates</t>
        </is>
      </c>
      <c r="E85" t="inlineStr">
        <is>
          <t>Fuchsite</t>
        </is>
      </c>
      <c r="F85" t="n">
        <v>2</v>
      </c>
      <c r="G85" t="n">
        <v>8</v>
      </c>
      <c r="H85" t="n">
        <v>252</v>
      </c>
      <c r="I85" t="n">
        <v>252</v>
      </c>
      <c r="J85" t="inlineStr">
        <is>
          <t>Fossilized Coral</t>
        </is>
      </c>
      <c r="K85" t="inlineStr">
        <is>
          <t>fossilized-coral</t>
        </is>
      </c>
      <c r="L85" t="inlineStr">
        <is>
          <t>Fulgurite</t>
        </is>
      </c>
      <c r="M85" t="inlineStr">
        <is>
          <t>fulgurite</t>
        </is>
      </c>
      <c r="N85" t="b">
        <v>0</v>
      </c>
      <c r="O85" t="inlineStr">
        <is>
          <t>fuchsite</t>
        </is>
      </c>
      <c r="P85" t="inlineStr">
        <is>
          <t>Not Started</t>
        </is>
      </c>
      <c r="Q85" t="inlineStr">
        <is>
          <t>Heart</t>
        </is>
      </c>
      <c r="S85" t="inlineStr">
        <is>
          <t>Heart</t>
        </is>
      </c>
      <c r="X85" t="inlineStr">
        <is>
          <t>Mineral</t>
        </is>
      </c>
      <c r="Z85" s="3" t="inlineStr">
        <is>
          <t>Restored self-worth</t>
        </is>
      </c>
      <c r="AA85" s="3" t="inlineStr">
        <is>
          <t>Use when you are giving compassion freely to others but withholding the same patience and care from yourself.</t>
        </is>
      </c>
      <c r="AB85" s="3" t="n"/>
      <c r="AC85" t="inlineStr">
        <is>
          <t>Joy</t>
        </is>
      </c>
      <c r="AF85" t="inlineStr">
        <is>
          <t>["Worth","Healing","Renewal"]</t>
        </is>
      </c>
      <c r="AK85" t="b">
        <v>0</v>
      </c>
      <c r="AL85" t="inlineStr">
        <is>
          <t>Unreviewed</t>
        </is>
      </c>
      <c r="AM85" t="inlineStr">
        <is>
          <t>Not Started</t>
        </is>
      </c>
      <c r="AN85" t="inlineStr">
        <is>
          <t>Not Started</t>
        </is>
      </c>
      <c r="AO85" t="inlineStr">
        <is>
          <t>Not Started</t>
        </is>
      </c>
      <c r="AP85" t="inlineStr">
        <is>
          <t>Not Started</t>
        </is>
      </c>
      <c r="AR85" t="inlineStr">
        <is>
          <t>v0.3-2026-06-29</t>
        </is>
      </c>
      <c r="AT85" s="3" t="n"/>
    </row>
    <row r="86">
      <c r="A86" t="inlineStr">
        <is>
          <t>C-0048</t>
        </is>
      </c>
      <c r="B86" t="inlineStr">
        <is>
          <t>Garnet</t>
        </is>
      </c>
      <c r="C86" t="inlineStr">
        <is>
          <t>Almandine Garnet</t>
        </is>
      </c>
      <c r="D86" t="inlineStr">
        <is>
          <t>Garnet</t>
        </is>
      </c>
      <c r="E86" t="inlineStr">
        <is>
          <t>Almandine</t>
        </is>
      </c>
      <c r="F86" t="n">
        <v>2</v>
      </c>
      <c r="G86" t="n">
        <v>8</v>
      </c>
      <c r="H86" t="n">
        <v>48</v>
      </c>
      <c r="I86" t="n">
        <v>48</v>
      </c>
      <c r="J86" t="inlineStr">
        <is>
          <t>Galena</t>
        </is>
      </c>
      <c r="K86" t="inlineStr">
        <is>
          <t>galena</t>
        </is>
      </c>
      <c r="L86" t="inlineStr">
        <is>
          <t>Gaspeite</t>
        </is>
      </c>
      <c r="M86" t="inlineStr">
        <is>
          <t>gaspeite</t>
        </is>
      </c>
      <c r="N86" t="b">
        <v>0</v>
      </c>
      <c r="O86" t="inlineStr">
        <is>
          <t>garnet</t>
        </is>
      </c>
      <c r="P86" t="inlineStr">
        <is>
          <t>Not Started</t>
        </is>
      </c>
      <c r="Q86" t="inlineStr">
        <is>
          <t>Root</t>
        </is>
      </c>
      <c r="R86" t="inlineStr">
        <is>
          <t>Crown</t>
        </is>
      </c>
      <c r="S86" t="inlineStr">
        <is>
          <t>Root</t>
        </is>
      </c>
      <c r="X86" t="inlineStr">
        <is>
          <t>Mineral</t>
        </is>
      </c>
      <c r="Z86" s="3" t="inlineStr">
        <is>
          <t>Committed energy</t>
        </is>
      </c>
      <c r="AA86" s="3" t="inlineStr">
        <is>
          <t>Use when enthusiasm has faded but the goal, relationship, or promise still matters deeply to you.</t>
        </is>
      </c>
      <c r="AB86" s="3" t="n"/>
      <c r="AC86" t="inlineStr">
        <is>
          <t>Vitality</t>
        </is>
      </c>
      <c r="AD86" t="inlineStr">
        <is>
          <t>Confidence</t>
        </is>
      </c>
      <c r="AF86" t="inlineStr">
        <is>
          <t>["Vitality","Devotion","Endurance"]</t>
        </is>
      </c>
      <c r="AK86" t="b">
        <v>0</v>
      </c>
      <c r="AL86" t="inlineStr">
        <is>
          <t>Unreviewed</t>
        </is>
      </c>
      <c r="AM86" t="inlineStr">
        <is>
          <t>Not Started</t>
        </is>
      </c>
      <c r="AN86" t="inlineStr">
        <is>
          <t>Not Started</t>
        </is>
      </c>
      <c r="AO86" t="inlineStr">
        <is>
          <t>Not Started</t>
        </is>
      </c>
      <c r="AP86" t="inlineStr">
        <is>
          <t>Not Started</t>
        </is>
      </c>
      <c r="AR86" t="inlineStr">
        <is>
          <t>v0.3-2026-06-29</t>
        </is>
      </c>
      <c r="AT86" s="3" t="n"/>
    </row>
    <row r="87">
      <c r="A87" t="inlineStr">
        <is>
          <t>C-0140</t>
        </is>
      </c>
      <c r="B87" t="inlineStr">
        <is>
          <t>Gold Sheen Obsidian</t>
        </is>
      </c>
      <c r="D87" t="inlineStr">
        <is>
          <t>Obsidian</t>
        </is>
      </c>
      <c r="E87" t="inlineStr">
        <is>
          <t>Obsidian</t>
        </is>
      </c>
      <c r="F87" t="n">
        <v>2</v>
      </c>
      <c r="G87" t="n">
        <v>8</v>
      </c>
      <c r="H87" t="n">
        <v>140</v>
      </c>
      <c r="I87" t="n">
        <v>140</v>
      </c>
      <c r="J87" t="inlineStr">
        <is>
          <t>Goethite</t>
        </is>
      </c>
      <c r="K87" t="inlineStr">
        <is>
          <t>goethite</t>
        </is>
      </c>
      <c r="L87" t="inlineStr">
        <is>
          <t>Tiger's Eye</t>
        </is>
      </c>
      <c r="M87" t="inlineStr">
        <is>
          <t>tigers-eye</t>
        </is>
      </c>
      <c r="N87" t="b">
        <v>0</v>
      </c>
      <c r="O87" t="inlineStr">
        <is>
          <t>gold-sheen-obsidian</t>
        </is>
      </c>
      <c r="P87" t="inlineStr">
        <is>
          <t>Not Started</t>
        </is>
      </c>
      <c r="Q87" t="inlineStr">
        <is>
          <t>Solar Plexus</t>
        </is>
      </c>
      <c r="R87" t="inlineStr">
        <is>
          <t>Root</t>
        </is>
      </c>
      <c r="S87" t="inlineStr">
        <is>
          <t>Solar Plexus</t>
        </is>
      </c>
      <c r="X87" t="inlineStr">
        <is>
          <t>Mineraloid</t>
        </is>
      </c>
      <c r="Z87" s="3" t="inlineStr">
        <is>
          <t>Conscious power</t>
        </is>
      </c>
      <c r="AA87" s="3" t="inlineStr">
        <is>
          <t>Use when you want success or influence but need to examine the motives and consequences behind that desire.</t>
        </is>
      </c>
      <c r="AB87" s="3" t="n"/>
      <c r="AC87" t="inlineStr">
        <is>
          <t>Protection</t>
        </is>
      </c>
      <c r="AD87" t="inlineStr">
        <is>
          <t>Communication</t>
        </is>
      </c>
      <c r="AF87" t="inlineStr">
        <is>
          <t>["Protection","Insight","Confidence"]</t>
        </is>
      </c>
      <c r="AK87" t="b">
        <v>0</v>
      </c>
      <c r="AL87" t="inlineStr">
        <is>
          <t>Unreviewed</t>
        </is>
      </c>
      <c r="AM87" t="inlineStr">
        <is>
          <t>Not Started</t>
        </is>
      </c>
      <c r="AN87" t="inlineStr">
        <is>
          <t>Not Started</t>
        </is>
      </c>
      <c r="AO87" t="inlineStr">
        <is>
          <t>Not Started</t>
        </is>
      </c>
      <c r="AP87" t="inlineStr">
        <is>
          <t>Not Started</t>
        </is>
      </c>
      <c r="AR87" t="inlineStr">
        <is>
          <t>v0.3-2026-06-29</t>
        </is>
      </c>
      <c r="AT87" s="3" t="n"/>
    </row>
    <row r="88">
      <c r="A88" t="inlineStr">
        <is>
          <t>C-0186</t>
        </is>
      </c>
      <c r="B88" t="inlineStr">
        <is>
          <t>Goldstone</t>
        </is>
      </c>
      <c r="D88" t="inlineStr">
        <is>
          <t>Synthetic Material</t>
        </is>
      </c>
      <c r="E88" t="inlineStr">
        <is>
          <t>Goldstone</t>
        </is>
      </c>
      <c r="F88" t="n">
        <v>2</v>
      </c>
      <c r="G88" t="n">
        <v>9</v>
      </c>
      <c r="H88" t="n">
        <v>186</v>
      </c>
      <c r="I88" t="n">
        <v>186</v>
      </c>
      <c r="J88" t="inlineStr">
        <is>
          <t>Golden Labradorite</t>
        </is>
      </c>
      <c r="K88" t="inlineStr">
        <is>
          <t>golden-labradorite</t>
        </is>
      </c>
      <c r="L88" t="inlineStr">
        <is>
          <t>Goshenite</t>
        </is>
      </c>
      <c r="M88" t="inlineStr">
        <is>
          <t>goshenite</t>
        </is>
      </c>
      <c r="N88" t="b">
        <v>0</v>
      </c>
      <c r="O88" t="inlineStr">
        <is>
          <t>goldstone</t>
        </is>
      </c>
      <c r="P88" t="inlineStr">
        <is>
          <t>Not Started</t>
        </is>
      </c>
      <c r="Q88" t="inlineStr">
        <is>
          <t>Sacral</t>
        </is>
      </c>
      <c r="R88" t="inlineStr">
        <is>
          <t>Root</t>
        </is>
      </c>
      <c r="S88" t="inlineStr">
        <is>
          <t>Sacral</t>
        </is>
      </c>
      <c r="X88" t="inlineStr">
        <is>
          <t>Man-made</t>
        </is>
      </c>
      <c r="Z88" s="3" t="inlineStr">
        <is>
          <t>Motivated action</t>
        </is>
      </c>
      <c r="AA88" s="3" t="inlineStr">
        <is>
          <t>Use when you need an energetic nudge to reengage with a goal, project, or creative idea.</t>
        </is>
      </c>
      <c r="AB88" s="3" t="n"/>
      <c r="AC88" t="inlineStr">
        <is>
          <t>Protection</t>
        </is>
      </c>
      <c r="AD88" t="inlineStr">
        <is>
          <t>Confidence</t>
        </is>
      </c>
      <c r="AF88" t="inlineStr">
        <is>
          <t>["Confidence","Motivation","Vitality"]</t>
        </is>
      </c>
      <c r="AK88" t="b">
        <v>0</v>
      </c>
      <c r="AL88" t="inlineStr">
        <is>
          <t>Unreviewed</t>
        </is>
      </c>
      <c r="AM88" t="inlineStr">
        <is>
          <t>Not Started</t>
        </is>
      </c>
      <c r="AN88" t="inlineStr">
        <is>
          <t>Not Started</t>
        </is>
      </c>
      <c r="AO88" t="inlineStr">
        <is>
          <t>Not Started</t>
        </is>
      </c>
      <c r="AP88" t="inlineStr">
        <is>
          <t>Not Started</t>
        </is>
      </c>
      <c r="AR88" t="inlineStr">
        <is>
          <t>v0.3-2026-06-29</t>
        </is>
      </c>
      <c r="AT88" s="3" t="n"/>
    </row>
    <row r="89">
      <c r="A89" t="inlineStr">
        <is>
          <t>C-0012</t>
        </is>
      </c>
      <c r="B89" t="inlineStr">
        <is>
          <t>Green Calcite</t>
        </is>
      </c>
      <c r="D89" t="inlineStr">
        <is>
          <t>Calcite</t>
        </is>
      </c>
      <c r="E89" t="inlineStr">
        <is>
          <t>Calcite</t>
        </is>
      </c>
      <c r="F89" t="n">
        <v>2</v>
      </c>
      <c r="G89" t="n">
        <v>9</v>
      </c>
      <c r="H89" t="n">
        <v>12</v>
      </c>
      <c r="I89" t="n">
        <v>12</v>
      </c>
      <c r="J89" t="inlineStr">
        <is>
          <t>Green Aventurine</t>
        </is>
      </c>
      <c r="K89" t="inlineStr">
        <is>
          <t>green-aventurine</t>
        </is>
      </c>
      <c r="L89" t="inlineStr">
        <is>
          <t>Green Fluorite</t>
        </is>
      </c>
      <c r="M89" t="inlineStr">
        <is>
          <t>green-fluorite</t>
        </is>
      </c>
      <c r="N89" t="b">
        <v>0</v>
      </c>
      <c r="O89" t="inlineStr">
        <is>
          <t>green-calcite</t>
        </is>
      </c>
      <c r="P89" t="inlineStr">
        <is>
          <t>Not Started</t>
        </is>
      </c>
      <c r="Q89" t="inlineStr">
        <is>
          <t>Heart</t>
        </is>
      </c>
      <c r="S89" t="inlineStr">
        <is>
          <t>Heart</t>
        </is>
      </c>
      <c r="X89" t="inlineStr">
        <is>
          <t>Mineral</t>
        </is>
      </c>
      <c r="Z89" s="3" t="inlineStr">
        <is>
          <t>Emotional renewal</t>
        </is>
      </c>
      <c r="AA89" s="3" t="inlineStr">
        <is>
          <t>Use when you need to loosen emotional tension without demanding that yourself or anyone else heal immediately.</t>
        </is>
      </c>
      <c r="AB89" s="3" t="n"/>
      <c r="AC89" t="inlineStr">
        <is>
          <t>Heart Healing</t>
        </is>
      </c>
      <c r="AD89" t="inlineStr">
        <is>
          <t>Emotional Balance</t>
        </is>
      </c>
      <c r="AF89" t="inlineStr">
        <is>
          <t>["Healing","Renewal","Balance"]</t>
        </is>
      </c>
      <c r="AK89" t="b">
        <v>0</v>
      </c>
      <c r="AL89" t="inlineStr">
        <is>
          <t>Unreviewed</t>
        </is>
      </c>
      <c r="AM89" t="inlineStr">
        <is>
          <t>Not Started</t>
        </is>
      </c>
      <c r="AN89" t="inlineStr">
        <is>
          <t>Not Started</t>
        </is>
      </c>
      <c r="AO89" t="inlineStr">
        <is>
          <t>Not Started</t>
        </is>
      </c>
      <c r="AP89" t="inlineStr">
        <is>
          <t>Not Started</t>
        </is>
      </c>
      <c r="AR89" t="inlineStr">
        <is>
          <t>v0.3-2026-06-29</t>
        </is>
      </c>
      <c r="AT89" s="3" t="n"/>
    </row>
    <row r="90">
      <c r="A90" t="inlineStr">
        <is>
          <t>C-0032</t>
        </is>
      </c>
      <c r="B90" t="inlineStr">
        <is>
          <t>Green Fluorite</t>
        </is>
      </c>
      <c r="D90" t="inlineStr">
        <is>
          <t>Fluorite</t>
        </is>
      </c>
      <c r="E90" t="inlineStr">
        <is>
          <t>Fluorite</t>
        </is>
      </c>
      <c r="F90" t="n">
        <v>2</v>
      </c>
      <c r="G90" t="n">
        <v>9</v>
      </c>
      <c r="H90" t="n">
        <v>32</v>
      </c>
      <c r="I90" t="n">
        <v>32</v>
      </c>
      <c r="J90" t="inlineStr">
        <is>
          <t>Green Calcite</t>
        </is>
      </c>
      <c r="K90" t="inlineStr">
        <is>
          <t>green-calcite</t>
        </is>
      </c>
      <c r="L90" t="inlineStr">
        <is>
          <t>Green Heulandite</t>
        </is>
      </c>
      <c r="M90" t="inlineStr">
        <is>
          <t>green-heulandite</t>
        </is>
      </c>
      <c r="N90" t="b">
        <v>0</v>
      </c>
      <c r="O90" t="inlineStr">
        <is>
          <t>green-fluorite</t>
        </is>
      </c>
      <c r="P90" t="inlineStr">
        <is>
          <t>Not Started</t>
        </is>
      </c>
      <c r="Q90" t="inlineStr">
        <is>
          <t>Heart</t>
        </is>
      </c>
      <c r="S90" t="inlineStr">
        <is>
          <t>Heart</t>
        </is>
      </c>
      <c r="X90" t="inlineStr">
        <is>
          <t>Mineral</t>
        </is>
      </c>
      <c r="Z90" s="3" t="inlineStr">
        <is>
          <t>Healthy reorganization</t>
        </is>
      </c>
      <c r="AA90" s="3" t="inlineStr">
        <is>
          <t>Use when your routines or thoughts need reorganizing but you want the change to feel restorative rather than punishing.</t>
        </is>
      </c>
      <c r="AB90" s="3" t="n"/>
      <c r="AC90" t="inlineStr">
        <is>
          <t>Heart Healing</t>
        </is>
      </c>
      <c r="AD90" t="inlineStr">
        <is>
          <t>Transformation</t>
        </is>
      </c>
      <c r="AF90" t="inlineStr">
        <is>
          <t>["Clarity","Balance","Renewal"]</t>
        </is>
      </c>
      <c r="AK90" t="b">
        <v>0</v>
      </c>
      <c r="AL90" t="inlineStr">
        <is>
          <t>Unreviewed</t>
        </is>
      </c>
      <c r="AM90" t="inlineStr">
        <is>
          <t>Not Started</t>
        </is>
      </c>
      <c r="AN90" t="inlineStr">
        <is>
          <t>Not Started</t>
        </is>
      </c>
      <c r="AO90" t="inlineStr">
        <is>
          <t>Not Started</t>
        </is>
      </c>
      <c r="AP90" t="inlineStr">
        <is>
          <t>Not Started</t>
        </is>
      </c>
      <c r="AR90" t="inlineStr">
        <is>
          <t>v0.3-2026-06-29</t>
        </is>
      </c>
      <c r="AT90" s="3" t="n"/>
    </row>
    <row r="91">
      <c r="A91" t="inlineStr">
        <is>
          <t>C-0113</t>
        </is>
      </c>
      <c r="B91" t="inlineStr">
        <is>
          <t>Hematoid Quartz</t>
        </is>
      </c>
      <c r="C91" t="inlineStr">
        <is>
          <t>Fire Quartz</t>
        </is>
      </c>
      <c r="D91" t="inlineStr">
        <is>
          <t>Quartz</t>
        </is>
      </c>
      <c r="E91" t="inlineStr">
        <is>
          <t>Quartz</t>
        </is>
      </c>
      <c r="F91" t="n">
        <v>2</v>
      </c>
      <c r="G91" t="n">
        <v>9</v>
      </c>
      <c r="H91" t="n">
        <v>113</v>
      </c>
      <c r="I91" t="n">
        <v>113</v>
      </c>
      <c r="J91" t="inlineStr">
        <is>
          <t>Hematite</t>
        </is>
      </c>
      <c r="K91" t="inlineStr">
        <is>
          <t>hematite</t>
        </is>
      </c>
      <c r="L91" t="inlineStr">
        <is>
          <t>Hemimorphite</t>
        </is>
      </c>
      <c r="M91" t="inlineStr">
        <is>
          <t>hemimorphite</t>
        </is>
      </c>
      <c r="N91" t="b">
        <v>0</v>
      </c>
      <c r="O91" t="inlineStr">
        <is>
          <t>hematoid-quartz</t>
        </is>
      </c>
      <c r="P91" t="inlineStr">
        <is>
          <t>Not Started</t>
        </is>
      </c>
      <c r="Q91" t="inlineStr">
        <is>
          <t>Root</t>
        </is>
      </c>
      <c r="S91" t="inlineStr">
        <is>
          <t>Root</t>
        </is>
      </c>
      <c r="X91" t="inlineStr">
        <is>
          <t>Mineral</t>
        </is>
      </c>
      <c r="Z91" s="3" t="inlineStr">
        <is>
          <t>Grounded momentum</t>
        </is>
      </c>
      <c r="AA91" s="3" t="inlineStr">
        <is>
          <t>Use when you need energy that feels anchored, practical, and easier to direct.</t>
        </is>
      </c>
      <c r="AB91" s="3" t="n"/>
      <c r="AC91" t="inlineStr">
        <is>
          <t>Grounding</t>
        </is>
      </c>
      <c r="AD91" t="inlineStr">
        <is>
          <t>Clarity &amp; Focus</t>
        </is>
      </c>
      <c r="AF91" t="inlineStr">
        <is>
          <t>["Grounding","Vitality","Focus"]</t>
        </is>
      </c>
      <c r="AK91" t="b">
        <v>0</v>
      </c>
      <c r="AL91" t="inlineStr">
        <is>
          <t>Unreviewed</t>
        </is>
      </c>
      <c r="AM91" t="inlineStr">
        <is>
          <t>Not Started</t>
        </is>
      </c>
      <c r="AN91" t="inlineStr">
        <is>
          <t>Not Started</t>
        </is>
      </c>
      <c r="AO91" t="inlineStr">
        <is>
          <t>Not Started</t>
        </is>
      </c>
      <c r="AP91" t="inlineStr">
        <is>
          <t>Not Started</t>
        </is>
      </c>
      <c r="AR91" t="inlineStr">
        <is>
          <t>v0.3-2026-06-29</t>
        </is>
      </c>
      <c r="AT91" s="3" t="n"/>
    </row>
    <row r="92">
      <c r="A92" t="inlineStr">
        <is>
          <t>C-0123</t>
        </is>
      </c>
      <c r="B92" t="inlineStr">
        <is>
          <t>Herkimer Diamond</t>
        </is>
      </c>
      <c r="D92" t="inlineStr">
        <is>
          <t>Quartz</t>
        </is>
      </c>
      <c r="E92" t="inlineStr">
        <is>
          <t>Quartz</t>
        </is>
      </c>
      <c r="F92" t="n">
        <v>2</v>
      </c>
      <c r="G92" t="n">
        <v>9</v>
      </c>
      <c r="H92" t="n">
        <v>123</v>
      </c>
      <c r="I92" t="n">
        <v>123</v>
      </c>
      <c r="J92" t="inlineStr">
        <is>
          <t>Hemimorphite</t>
        </is>
      </c>
      <c r="K92" t="inlineStr">
        <is>
          <t>hemimorphite</t>
        </is>
      </c>
      <c r="L92" t="inlineStr">
        <is>
          <t>Hiddenite</t>
        </is>
      </c>
      <c r="M92" t="inlineStr">
        <is>
          <t>hiddenite</t>
        </is>
      </c>
      <c r="N92" t="b">
        <v>0</v>
      </c>
      <c r="O92" t="inlineStr">
        <is>
          <t>herkimer-diamond</t>
        </is>
      </c>
      <c r="P92" t="inlineStr">
        <is>
          <t>Not Started</t>
        </is>
      </c>
      <c r="Q92" t="inlineStr">
        <is>
          <t>Crown</t>
        </is>
      </c>
      <c r="R92" t="inlineStr">
        <is>
          <t>Third Eye</t>
        </is>
      </c>
      <c r="S92" t="inlineStr">
        <is>
          <t>Crown</t>
        </is>
      </c>
      <c r="X92" t="inlineStr">
        <is>
          <t>Mineral</t>
        </is>
      </c>
      <c r="Z92" s="3" t="inlineStr">
        <is>
          <t>Energetic attunement</t>
        </is>
      </c>
      <c r="AA92" s="3" t="inlineStr">
        <is>
          <t>Use when you want to sharpen your awareness while staying conscious of what you are amplifying.</t>
        </is>
      </c>
      <c r="AB92" s="3" t="n"/>
      <c r="AC92" t="inlineStr">
        <is>
          <t>Spiritual Connection</t>
        </is>
      </c>
      <c r="AD92" t="inlineStr">
        <is>
          <t>Clarity &amp; Focus</t>
        </is>
      </c>
      <c r="AE92" t="inlineStr">
        <is>
          <t>Amplification</t>
        </is>
      </c>
      <c r="AF92" t="inlineStr">
        <is>
          <t>["Amplification","Clarity","Attunement"]</t>
        </is>
      </c>
      <c r="AK92" t="b">
        <v>0</v>
      </c>
      <c r="AL92" t="inlineStr">
        <is>
          <t>Unreviewed</t>
        </is>
      </c>
      <c r="AM92" t="inlineStr">
        <is>
          <t>Not Started</t>
        </is>
      </c>
      <c r="AN92" t="inlineStr">
        <is>
          <t>Not Started</t>
        </is>
      </c>
      <c r="AO92" t="inlineStr">
        <is>
          <t>Not Started</t>
        </is>
      </c>
      <c r="AP92" t="inlineStr">
        <is>
          <t>Not Started</t>
        </is>
      </c>
      <c r="AR92" t="inlineStr">
        <is>
          <t>v0.3-2026-06-29</t>
        </is>
      </c>
      <c r="AT92" s="3" t="n"/>
    </row>
    <row r="93">
      <c r="A93" t="inlineStr">
        <is>
          <t>C-0013</t>
        </is>
      </c>
      <c r="B93" t="inlineStr">
        <is>
          <t>Honey Calcite</t>
        </is>
      </c>
      <c r="D93" t="inlineStr">
        <is>
          <t>Calcite</t>
        </is>
      </c>
      <c r="E93" t="inlineStr">
        <is>
          <t>Calcite</t>
        </is>
      </c>
      <c r="F93" t="n">
        <v>2</v>
      </c>
      <c r="G93" t="n">
        <v>9</v>
      </c>
      <c r="H93" t="n">
        <v>13</v>
      </c>
      <c r="I93" t="n">
        <v>13</v>
      </c>
      <c r="J93" t="inlineStr">
        <is>
          <t>Hiddenite</t>
        </is>
      </c>
      <c r="K93" t="inlineStr">
        <is>
          <t>hiddenite</t>
        </is>
      </c>
      <c r="L93" t="inlineStr">
        <is>
          <t>Howlite</t>
        </is>
      </c>
      <c r="M93" t="inlineStr">
        <is>
          <t>howlite</t>
        </is>
      </c>
      <c r="N93" t="b">
        <v>0</v>
      </c>
      <c r="O93" t="inlineStr">
        <is>
          <t>honey-calcite</t>
        </is>
      </c>
      <c r="P93" t="inlineStr">
        <is>
          <t>Not Started</t>
        </is>
      </c>
      <c r="Q93" t="inlineStr">
        <is>
          <t>Solar Plexus</t>
        </is>
      </c>
      <c r="R93" t="inlineStr">
        <is>
          <t>Root</t>
        </is>
      </c>
      <c r="S93" t="inlineStr">
        <is>
          <t>Solar Plexus</t>
        </is>
      </c>
      <c r="X93" t="inlineStr">
        <is>
          <t>Mineral</t>
        </is>
      </c>
      <c r="Z93" s="3" t="inlineStr">
        <is>
          <t>Confident learning</t>
        </is>
      </c>
      <c r="AA93" s="3" t="inlineStr">
        <is>
          <t>Use when you are learning something difficult and need encouragement to stay curious instead of becoming discouraged.</t>
        </is>
      </c>
      <c r="AB93" s="3" t="n"/>
      <c r="AC93" t="inlineStr">
        <is>
          <t>Confidence</t>
        </is>
      </c>
      <c r="AD93" t="inlineStr">
        <is>
          <t>Amplification</t>
        </is>
      </c>
      <c r="AE93" t="inlineStr">
        <is>
          <t>Clarity &amp; Focus</t>
        </is>
      </c>
      <c r="AF93" t="inlineStr">
        <is>
          <t>["Confidence","Focus","Motivation"]</t>
        </is>
      </c>
      <c r="AK93" t="b">
        <v>0</v>
      </c>
      <c r="AL93" t="inlineStr">
        <is>
          <t>Unreviewed</t>
        </is>
      </c>
      <c r="AM93" t="inlineStr">
        <is>
          <t>Not Started</t>
        </is>
      </c>
      <c r="AN93" t="inlineStr">
        <is>
          <t>Not Started</t>
        </is>
      </c>
      <c r="AO93" t="inlineStr">
        <is>
          <t>Not Started</t>
        </is>
      </c>
      <c r="AP93" t="inlineStr">
        <is>
          <t>Not Started</t>
        </is>
      </c>
      <c r="AR93" t="inlineStr">
        <is>
          <t>v0.3-2026-06-29</t>
        </is>
      </c>
      <c r="AT93" s="3" t="n"/>
    </row>
    <row r="94">
      <c r="A94" t="inlineStr">
        <is>
          <t>C-0187</t>
        </is>
      </c>
      <c r="B94" t="inlineStr">
        <is>
          <t>Indigo Gabbro</t>
        </is>
      </c>
      <c r="C94" t="inlineStr">
        <is>
          <t>Mystic Merlinite</t>
        </is>
      </c>
      <c r="D94" t="inlineStr">
        <is>
          <t>Aggregate</t>
        </is>
      </c>
      <c r="E94" t="inlineStr">
        <is>
          <t>Feldspar; Pyroxene; Chlorite</t>
        </is>
      </c>
      <c r="F94" t="n">
        <v>2</v>
      </c>
      <c r="G94" t="n">
        <v>9</v>
      </c>
      <c r="H94" t="n">
        <v>187</v>
      </c>
      <c r="I94" t="n">
        <v>187</v>
      </c>
      <c r="J94" t="inlineStr">
        <is>
          <t>Imperial Topaz</t>
        </is>
      </c>
      <c r="K94" t="inlineStr">
        <is>
          <t>imperial-topaz</t>
        </is>
      </c>
      <c r="L94" t="inlineStr">
        <is>
          <t>Infinite</t>
        </is>
      </c>
      <c r="M94" t="inlineStr">
        <is>
          <t>infinite</t>
        </is>
      </c>
      <c r="N94" t="b">
        <v>0</v>
      </c>
      <c r="O94" t="inlineStr">
        <is>
          <t>indigo-gabbro</t>
        </is>
      </c>
      <c r="P94" t="inlineStr">
        <is>
          <t>Not Started</t>
        </is>
      </c>
      <c r="Q94" t="inlineStr">
        <is>
          <t>Third Eye</t>
        </is>
      </c>
      <c r="S94" t="inlineStr">
        <is>
          <t>Third Eye</t>
        </is>
      </c>
      <c r="X94" t="inlineStr">
        <is>
          <t>Rock</t>
        </is>
      </c>
      <c r="Z94" s="3" t="inlineStr">
        <is>
          <t>Shadow integration</t>
        </is>
      </c>
      <c r="AA94" s="3" t="inlineStr">
        <is>
          <t>Use when a strong reaction may be revealing a part of yourself that needs understanding rather than judgment.</t>
        </is>
      </c>
      <c r="AB94" s="3" t="n"/>
      <c r="AC94" t="inlineStr">
        <is>
          <t>Grounding</t>
        </is>
      </c>
      <c r="AD94" t="inlineStr">
        <is>
          <t>Transformation</t>
        </is>
      </c>
      <c r="AF94" t="inlineStr">
        <is>
          <t>["Transformation","Intuition","Insight"]</t>
        </is>
      </c>
      <c r="AK94" t="b">
        <v>0</v>
      </c>
      <c r="AL94" t="inlineStr">
        <is>
          <t>Unreviewed</t>
        </is>
      </c>
      <c r="AM94" t="inlineStr">
        <is>
          <t>Not Started</t>
        </is>
      </c>
      <c r="AN94" t="inlineStr">
        <is>
          <t>Not Started</t>
        </is>
      </c>
      <c r="AO94" t="inlineStr">
        <is>
          <t>Not Started</t>
        </is>
      </c>
      <c r="AP94" t="inlineStr">
        <is>
          <t>Not Started</t>
        </is>
      </c>
      <c r="AR94" t="inlineStr">
        <is>
          <t>v0.3-2026-06-29</t>
        </is>
      </c>
      <c r="AT94" s="3" t="n"/>
    </row>
    <row r="95">
      <c r="A95" t="inlineStr">
        <is>
          <t>C-0222</t>
        </is>
      </c>
      <c r="B95" t="inlineStr">
        <is>
          <t>Iolite</t>
        </is>
      </c>
      <c r="D95" t="inlineStr">
        <is>
          <t>Silicates</t>
        </is>
      </c>
      <c r="E95" t="inlineStr">
        <is>
          <t>Cordierite</t>
        </is>
      </c>
      <c r="F95" t="n">
        <v>2</v>
      </c>
      <c r="G95" t="n">
        <v>9</v>
      </c>
      <c r="H95" t="n">
        <v>222</v>
      </c>
      <c r="I95" t="n">
        <v>222</v>
      </c>
      <c r="J95" t="inlineStr">
        <is>
          <t>Infinite</t>
        </is>
      </c>
      <c r="K95" t="inlineStr">
        <is>
          <t>infinite</t>
        </is>
      </c>
      <c r="L95" t="inlineStr">
        <is>
          <t>Jadeite</t>
        </is>
      </c>
      <c r="M95" t="inlineStr">
        <is>
          <t>jadeite</t>
        </is>
      </c>
      <c r="N95" t="b">
        <v>0</v>
      </c>
      <c r="O95" t="inlineStr">
        <is>
          <t>iolite</t>
        </is>
      </c>
      <c r="P95" t="inlineStr">
        <is>
          <t>Not Started</t>
        </is>
      </c>
      <c r="Q95" t="inlineStr">
        <is>
          <t>Third Eye</t>
        </is>
      </c>
      <c r="S95" t="inlineStr">
        <is>
          <t>Third Eye</t>
        </is>
      </c>
      <c r="X95" t="inlineStr">
        <is>
          <t>Mineral</t>
        </is>
      </c>
      <c r="Z95" s="3" t="inlineStr">
        <is>
          <t>Inner direction</t>
        </is>
      </c>
      <c r="AA95" s="3" t="inlineStr">
        <is>
          <t>Use when outside opinions are making it difficult to recognize which choice genuinely belongs to you.</t>
        </is>
      </c>
      <c r="AB95" s="3" t="n"/>
      <c r="AC95" t="inlineStr">
        <is>
          <t>Intuition</t>
        </is>
      </c>
      <c r="AF95" t="inlineStr">
        <is>
          <t>["Intuition","Discernment","Trust"]</t>
        </is>
      </c>
      <c r="AK95" t="b">
        <v>0</v>
      </c>
      <c r="AL95" t="inlineStr">
        <is>
          <t>Unreviewed</t>
        </is>
      </c>
      <c r="AM95" t="inlineStr">
        <is>
          <t>Not Started</t>
        </is>
      </c>
      <c r="AN95" t="inlineStr">
        <is>
          <t>Not Started</t>
        </is>
      </c>
      <c r="AO95" t="inlineStr">
        <is>
          <t>Not Started</t>
        </is>
      </c>
      <c r="AP95" t="inlineStr">
        <is>
          <t>Not Started</t>
        </is>
      </c>
      <c r="AR95" t="inlineStr">
        <is>
          <t>v0.3-2026-06-29</t>
        </is>
      </c>
      <c r="AT95" s="3" t="n"/>
    </row>
    <row r="96">
      <c r="A96" t="inlineStr">
        <is>
          <t>C-0132</t>
        </is>
      </c>
      <c r="B96" t="inlineStr">
        <is>
          <t>Kambaba Jasper</t>
        </is>
      </c>
      <c r="D96" t="inlineStr">
        <is>
          <t>Aggregate</t>
        </is>
      </c>
      <c r="E96" t="inlineStr">
        <is>
          <t>Stromatolitic Rock</t>
        </is>
      </c>
      <c r="F96" t="n">
        <v>2</v>
      </c>
      <c r="G96" t="n">
        <v>10</v>
      </c>
      <c r="H96" t="n">
        <v>132</v>
      </c>
      <c r="I96" t="n">
        <v>132</v>
      </c>
      <c r="J96" t="inlineStr">
        <is>
          <t>K2 Jasper</t>
        </is>
      </c>
      <c r="K96" t="inlineStr">
        <is>
          <t>k2-jasper</t>
        </is>
      </c>
      <c r="L96" t="inlineStr">
        <is>
          <t>Kiwi Jasper</t>
        </is>
      </c>
      <c r="M96" t="inlineStr">
        <is>
          <t>kiwi-jasper</t>
        </is>
      </c>
      <c r="N96" t="b">
        <v>0</v>
      </c>
      <c r="O96" t="inlineStr">
        <is>
          <t>kambaba-jasper</t>
        </is>
      </c>
      <c r="P96" t="inlineStr">
        <is>
          <t>Not Started</t>
        </is>
      </c>
      <c r="Q96" t="inlineStr">
        <is>
          <t>Heart</t>
        </is>
      </c>
      <c r="R96" t="inlineStr">
        <is>
          <t>Root</t>
        </is>
      </c>
      <c r="S96" t="inlineStr">
        <is>
          <t>Heart</t>
        </is>
      </c>
      <c r="X96" t="inlineStr">
        <is>
          <t>Rock</t>
        </is>
      </c>
      <c r="Z96" s="3" t="inlineStr">
        <is>
          <t>Ancient stillness</t>
        </is>
      </c>
      <c r="AA96" s="3" t="inlineStr">
        <is>
          <t>Use when modern noise and urgency have pulled you away from a deeper, steadier sense of time.</t>
        </is>
      </c>
      <c r="AB96" s="3" t="n"/>
      <c r="AC96" t="inlineStr">
        <is>
          <t>Calm &amp; Peace</t>
        </is>
      </c>
      <c r="AD96" t="inlineStr">
        <is>
          <t>Grounding</t>
        </is>
      </c>
      <c r="AF96" t="inlineStr">
        <is>
          <t>["Calm","Grounding","Peace"]</t>
        </is>
      </c>
      <c r="AK96" t="b">
        <v>0</v>
      </c>
      <c r="AL96" t="inlineStr">
        <is>
          <t>Unreviewed</t>
        </is>
      </c>
      <c r="AM96" t="inlineStr">
        <is>
          <t>Not Started</t>
        </is>
      </c>
      <c r="AN96" t="inlineStr">
        <is>
          <t>Not Started</t>
        </is>
      </c>
      <c r="AO96" t="inlineStr">
        <is>
          <t>Not Started</t>
        </is>
      </c>
      <c r="AP96" t="inlineStr">
        <is>
          <t>Not Started</t>
        </is>
      </c>
      <c r="AR96" t="inlineStr">
        <is>
          <t>v0.3-2026-06-29</t>
        </is>
      </c>
      <c r="AT96" s="3" t="n"/>
    </row>
    <row r="97">
      <c r="A97" t="inlineStr">
        <is>
          <t>C-0398</t>
        </is>
      </c>
      <c r="B97" t="inlineStr">
        <is>
          <t>Kiwi Jasper</t>
        </is>
      </c>
      <c r="C97" t="inlineStr">
        <is>
          <t>Sesame Jasper; Kiwi Quartz</t>
        </is>
      </c>
      <c r="D97" t="inlineStr">
        <is>
          <t>Quartz-rich Rocks</t>
        </is>
      </c>
      <c r="E97" t="inlineStr">
        <is>
          <t>Kiwi Jasper</t>
        </is>
      </c>
      <c r="F97" t="n">
        <v>2</v>
      </c>
      <c r="G97" t="n">
        <v>10</v>
      </c>
      <c r="H97" t="n">
        <v>398</v>
      </c>
      <c r="I97" t="n">
        <v>398</v>
      </c>
      <c r="J97" t="inlineStr">
        <is>
          <t>Kambaba Jasper</t>
        </is>
      </c>
      <c r="K97" t="inlineStr">
        <is>
          <t>kambaba-jasper</t>
        </is>
      </c>
      <c r="L97" t="inlineStr">
        <is>
          <t>Kunzite</t>
        </is>
      </c>
      <c r="M97" t="inlineStr">
        <is>
          <t>kunzite</t>
        </is>
      </c>
      <c r="N97" t="b">
        <v>0</v>
      </c>
      <c r="O97" t="inlineStr">
        <is>
          <t>kiwi-jasper</t>
        </is>
      </c>
      <c r="P97" t="inlineStr">
        <is>
          <t>Not Started</t>
        </is>
      </c>
      <c r="Q97" t="inlineStr">
        <is>
          <t>Heart</t>
        </is>
      </c>
      <c r="R97" t="inlineStr">
        <is>
          <t>Root</t>
        </is>
      </c>
      <c r="S97" t="inlineStr">
        <is>
          <t>Heart</t>
        </is>
      </c>
      <c r="X97" t="inlineStr">
        <is>
          <t>Rock</t>
        </is>
      </c>
      <c r="Z97" s="3" t="inlineStr">
        <is>
          <t>Gentle emotional support</t>
        </is>
      </c>
      <c r="AA97" s="3" t="inlineStr">
        <is>
          <t>Use when you are tired of pushing through and need a softer way to return to stability.</t>
        </is>
      </c>
      <c r="AB97" s="3" t="n"/>
      <c r="AC97" t="inlineStr">
        <is>
          <t>Emotional Regulation</t>
        </is>
      </c>
      <c r="AD97" t="inlineStr">
        <is>
          <t>Calm &amp; Peace</t>
        </is>
      </c>
      <c r="AE97" t="inlineStr">
        <is>
          <t>Grounding</t>
        </is>
      </c>
      <c r="AF97" t="inlineStr">
        <is>
          <t>["Comfort","Balance","Grounding"]</t>
        </is>
      </c>
      <c r="AK97" t="b">
        <v>0</v>
      </c>
      <c r="AL97" t="inlineStr">
        <is>
          <t>Unreviewed</t>
        </is>
      </c>
      <c r="AM97" t="inlineStr">
        <is>
          <t>Not Started</t>
        </is>
      </c>
      <c r="AN97" t="inlineStr">
        <is>
          <t>Not Started</t>
        </is>
      </c>
      <c r="AO97" t="inlineStr">
        <is>
          <t>Not Started</t>
        </is>
      </c>
      <c r="AP97" t="inlineStr">
        <is>
          <t>Not Started</t>
        </is>
      </c>
      <c r="AR97" t="inlineStr">
        <is>
          <t>v0.3-2026-06-29</t>
        </is>
      </c>
      <c r="AT97" s="3" t="n"/>
    </row>
    <row r="98">
      <c r="A98" t="inlineStr">
        <is>
          <t>C-0245</t>
        </is>
      </c>
      <c r="B98" t="inlineStr">
        <is>
          <t>Kunzite</t>
        </is>
      </c>
      <c r="D98" t="inlineStr">
        <is>
          <t>Spodumene</t>
        </is>
      </c>
      <c r="E98" t="inlineStr">
        <is>
          <t>Spodumene</t>
        </is>
      </c>
      <c r="F98" t="n">
        <v>2</v>
      </c>
      <c r="G98" t="n">
        <v>10</v>
      </c>
      <c r="H98" t="n">
        <v>245</v>
      </c>
      <c r="I98" t="n">
        <v>245</v>
      </c>
      <c r="J98" t="inlineStr">
        <is>
          <t>Kiwi Jasper</t>
        </is>
      </c>
      <c r="K98" t="inlineStr">
        <is>
          <t>kiwi-jasper</t>
        </is>
      </c>
      <c r="L98" t="inlineStr">
        <is>
          <t>Labradorite</t>
        </is>
      </c>
      <c r="M98" t="inlineStr">
        <is>
          <t>labradorite</t>
        </is>
      </c>
      <c r="N98" t="b">
        <v>0</v>
      </c>
      <c r="O98" t="inlineStr">
        <is>
          <t>kunzite</t>
        </is>
      </c>
      <c r="P98" t="inlineStr">
        <is>
          <t>Not Started</t>
        </is>
      </c>
      <c r="Q98" t="inlineStr">
        <is>
          <t>Heart</t>
        </is>
      </c>
      <c r="S98" t="inlineStr">
        <is>
          <t>Heart</t>
        </is>
      </c>
      <c r="X98" t="inlineStr">
        <is>
          <t>Mineral</t>
        </is>
      </c>
      <c r="Z98" s="3" t="inlineStr">
        <is>
          <t>Compassionate release</t>
        </is>
      </c>
      <c r="AA98" s="3" t="inlineStr">
        <is>
          <t>Use when your empathy has become emotionally exhausting and you need to care without absorbing everything around you.</t>
        </is>
      </c>
      <c r="AB98" s="3" t="n"/>
      <c r="AC98" t="inlineStr">
        <is>
          <t>Heart Healing</t>
        </is>
      </c>
      <c r="AF98" t="inlineStr">
        <is>
          <t>["Compassion","Love","Release"]</t>
        </is>
      </c>
      <c r="AK98" t="b">
        <v>0</v>
      </c>
      <c r="AL98" t="inlineStr">
        <is>
          <t>Unreviewed</t>
        </is>
      </c>
      <c r="AM98" t="inlineStr">
        <is>
          <t>Not Started</t>
        </is>
      </c>
      <c r="AN98" t="inlineStr">
        <is>
          <t>Not Started</t>
        </is>
      </c>
      <c r="AO98" t="inlineStr">
        <is>
          <t>Not Started</t>
        </is>
      </c>
      <c r="AP98" t="inlineStr">
        <is>
          <t>Not Started</t>
        </is>
      </c>
      <c r="AR98" t="inlineStr">
        <is>
          <t>v0.3-2026-06-29</t>
        </is>
      </c>
      <c r="AT98" s="3" t="n"/>
    </row>
    <row r="99">
      <c r="A99" t="inlineStr">
        <is>
          <t>C-0396</t>
        </is>
      </c>
      <c r="B99" t="inlineStr">
        <is>
          <t>Larvikite</t>
        </is>
      </c>
      <c r="C99" t="inlineStr">
        <is>
          <t>Norwegian Moonstone; Black Labradorite</t>
        </is>
      </c>
      <c r="D99" t="inlineStr">
        <is>
          <t>Feldspar-rich Rocks</t>
        </is>
      </c>
      <c r="E99" t="inlineStr">
        <is>
          <t>Larvikite</t>
        </is>
      </c>
      <c r="F99" t="n">
        <v>2</v>
      </c>
      <c r="G99" t="n">
        <v>10</v>
      </c>
      <c r="H99" t="n">
        <v>396</v>
      </c>
      <c r="I99" t="n">
        <v>396</v>
      </c>
      <c r="J99" t="inlineStr">
        <is>
          <t>Larimar</t>
        </is>
      </c>
      <c r="K99" t="inlineStr">
        <is>
          <t>larimar</t>
        </is>
      </c>
      <c r="L99" t="inlineStr">
        <is>
          <t>Lavender Rose Quartz</t>
        </is>
      </c>
      <c r="M99" t="inlineStr">
        <is>
          <t>lavender-rose-quartz</t>
        </is>
      </c>
      <c r="N99" t="b">
        <v>0</v>
      </c>
      <c r="O99" t="inlineStr">
        <is>
          <t>larvikite</t>
        </is>
      </c>
      <c r="P99" t="inlineStr">
        <is>
          <t>Not Started</t>
        </is>
      </c>
      <c r="Q99" t="inlineStr">
        <is>
          <t>Root</t>
        </is>
      </c>
      <c r="R99" t="inlineStr">
        <is>
          <t>Third Eye</t>
        </is>
      </c>
      <c r="S99" t="inlineStr">
        <is>
          <t>Root</t>
        </is>
      </c>
      <c r="X99" t="inlineStr">
        <is>
          <t>Rock</t>
        </is>
      </c>
      <c r="Z99" s="3" t="inlineStr">
        <is>
          <t>Grounded intuition</t>
        </is>
      </c>
      <c r="AA99" s="3" t="inlineStr">
        <is>
          <t>Use when your intuition feels active but your body and practical judgment need time to catch up.</t>
        </is>
      </c>
      <c r="AB99" s="3" t="n"/>
      <c r="AC99" t="inlineStr">
        <is>
          <t>Grounding</t>
        </is>
      </c>
      <c r="AD99" t="inlineStr">
        <is>
          <t>Protection</t>
        </is>
      </c>
      <c r="AE99" t="inlineStr">
        <is>
          <t>Intuition</t>
        </is>
      </c>
      <c r="AF99" t="inlineStr">
        <is>
          <t>["Grounding","Protection","Intuition"]</t>
        </is>
      </c>
      <c r="AK99" t="b">
        <v>0</v>
      </c>
      <c r="AL99" t="inlineStr">
        <is>
          <t>Unreviewed</t>
        </is>
      </c>
      <c r="AM99" t="inlineStr">
        <is>
          <t>Not Started</t>
        </is>
      </c>
      <c r="AN99" t="inlineStr">
        <is>
          <t>Not Started</t>
        </is>
      </c>
      <c r="AO99" t="inlineStr">
        <is>
          <t>Not Started</t>
        </is>
      </c>
      <c r="AP99" t="inlineStr">
        <is>
          <t>Not Started</t>
        </is>
      </c>
      <c r="AR99" t="inlineStr">
        <is>
          <t>v0.3-2026-06-29</t>
        </is>
      </c>
      <c r="AT99" s="3" t="n"/>
    </row>
    <row r="100">
      <c r="A100" t="inlineStr">
        <is>
          <t>C-0107</t>
        </is>
      </c>
      <c r="B100" t="inlineStr">
        <is>
          <t>Lavender Rose Quartz</t>
        </is>
      </c>
      <c r="D100" t="inlineStr">
        <is>
          <t>Quartz</t>
        </is>
      </c>
      <c r="E100" t="inlineStr">
        <is>
          <t>Quartz</t>
        </is>
      </c>
      <c r="F100" t="n">
        <v>2</v>
      </c>
      <c r="G100" t="n">
        <v>10</v>
      </c>
      <c r="H100" t="n">
        <v>107</v>
      </c>
      <c r="I100" t="n">
        <v>107</v>
      </c>
      <c r="J100" t="inlineStr">
        <is>
          <t>Larvikite</t>
        </is>
      </c>
      <c r="K100" t="inlineStr">
        <is>
          <t>larvikite</t>
        </is>
      </c>
      <c r="L100" t="inlineStr">
        <is>
          <t>Lazulite</t>
        </is>
      </c>
      <c r="M100" t="inlineStr">
        <is>
          <t>lazulite</t>
        </is>
      </c>
      <c r="N100" t="b">
        <v>0</v>
      </c>
      <c r="O100" t="inlineStr">
        <is>
          <t>lavender-rose-quartz</t>
        </is>
      </c>
      <c r="P100" t="inlineStr">
        <is>
          <t>Not Started</t>
        </is>
      </c>
      <c r="Q100" t="inlineStr">
        <is>
          <t>Heart</t>
        </is>
      </c>
      <c r="R100" t="inlineStr">
        <is>
          <t>Crown</t>
        </is>
      </c>
      <c r="S100" t="inlineStr">
        <is>
          <t>Heart</t>
        </is>
      </c>
      <c r="X100" t="inlineStr">
        <is>
          <t>Mineral</t>
        </is>
      </c>
      <c r="Z100" s="3" t="inlineStr">
        <is>
          <t>Serene affection</t>
        </is>
      </c>
      <c r="AA100" s="3" t="inlineStr">
        <is>
          <t>Use when you want emotional closeness but need the connection to feel peaceful rather than intense.</t>
        </is>
      </c>
      <c r="AB100" s="3" t="n"/>
      <c r="AC100" t="inlineStr">
        <is>
          <t>Heart Healing</t>
        </is>
      </c>
      <c r="AD100" t="inlineStr">
        <is>
          <t>Self-Love</t>
        </is>
      </c>
      <c r="AE100" t="inlineStr">
        <is>
          <t>Spiritual Connection</t>
        </is>
      </c>
      <c r="AF100" t="inlineStr">
        <is>
          <t>["Love","Peace","Healing"]</t>
        </is>
      </c>
      <c r="AK100" t="b">
        <v>0</v>
      </c>
      <c r="AL100" t="inlineStr">
        <is>
          <t>Unreviewed</t>
        </is>
      </c>
      <c r="AM100" t="inlineStr">
        <is>
          <t>Not Started</t>
        </is>
      </c>
      <c r="AN100" t="inlineStr">
        <is>
          <t>Not Started</t>
        </is>
      </c>
      <c r="AO100" t="inlineStr">
        <is>
          <t>Not Started</t>
        </is>
      </c>
      <c r="AP100" t="inlineStr">
        <is>
          <t>Not Started</t>
        </is>
      </c>
      <c r="AR100" t="inlineStr">
        <is>
          <t>v0.3-2026-06-29</t>
        </is>
      </c>
      <c r="AT100" s="3" t="n"/>
    </row>
    <row r="101">
      <c r="A101" t="inlineStr">
        <is>
          <t>C-0092</t>
        </is>
      </c>
      <c r="B101" t="inlineStr">
        <is>
          <t>Leopard Skin Jasper</t>
        </is>
      </c>
      <c r="D101" t="inlineStr">
        <is>
          <t>Quartz</t>
        </is>
      </c>
      <c r="E101" t="inlineStr">
        <is>
          <t>Quartz</t>
        </is>
      </c>
      <c r="F101" t="n">
        <v>2</v>
      </c>
      <c r="G101" t="n">
        <v>10</v>
      </c>
      <c r="H101" t="n">
        <v>92</v>
      </c>
      <c r="I101" t="n">
        <v>92</v>
      </c>
      <c r="J101" t="inlineStr">
        <is>
          <t>Lemurian Seed Crystal</t>
        </is>
      </c>
      <c r="K101" t="inlineStr">
        <is>
          <t>lemurian-seed-crystal</t>
        </is>
      </c>
      <c r="L101" t="inlineStr">
        <is>
          <t>Lepidocrocite</t>
        </is>
      </c>
      <c r="M101" t="inlineStr">
        <is>
          <t>lepidocrocite</t>
        </is>
      </c>
      <c r="N101" t="b">
        <v>0</v>
      </c>
      <c r="O101" t="inlineStr">
        <is>
          <t>leopard-skin-jasper</t>
        </is>
      </c>
      <c r="P101" t="inlineStr">
        <is>
          <t>Not Started</t>
        </is>
      </c>
      <c r="Q101" t="inlineStr">
        <is>
          <t>Root</t>
        </is>
      </c>
      <c r="R101" t="inlineStr">
        <is>
          <t>Heart</t>
        </is>
      </c>
      <c r="S101" t="inlineStr">
        <is>
          <t>Root</t>
        </is>
      </c>
      <c r="X101" t="inlineStr">
        <is>
          <t>Mineral</t>
        </is>
      </c>
      <c r="Z101" s="3" t="inlineStr">
        <is>
          <t>Instinctive awareness</t>
        </is>
      </c>
      <c r="AA101" s="3" t="inlineStr">
        <is>
          <t>Use when your first reaction feels important but you need to understand what it is trying to tell you.</t>
        </is>
      </c>
      <c r="AB101" s="3" t="n"/>
      <c r="AC101" t="inlineStr">
        <is>
          <t>Spiritual Connection</t>
        </is>
      </c>
      <c r="AD101" t="inlineStr">
        <is>
          <t>Intuition</t>
        </is>
      </c>
      <c r="AE101" t="inlineStr">
        <is>
          <t>Grounding</t>
        </is>
      </c>
      <c r="AF101" t="inlineStr">
        <is>
          <t>["Grounding","Intuition","Insight"]</t>
        </is>
      </c>
      <c r="AK101" t="b">
        <v>0</v>
      </c>
      <c r="AL101" t="inlineStr">
        <is>
          <t>Unreviewed</t>
        </is>
      </c>
      <c r="AM101" t="inlineStr">
        <is>
          <t>Not Started</t>
        </is>
      </c>
      <c r="AN101" t="inlineStr">
        <is>
          <t>Not Started</t>
        </is>
      </c>
      <c r="AO101" t="inlineStr">
        <is>
          <t>Not Started</t>
        </is>
      </c>
      <c r="AP101" t="inlineStr">
        <is>
          <t>Not Started</t>
        </is>
      </c>
      <c r="AR101" t="inlineStr">
        <is>
          <t>v0.3-2026-06-29</t>
        </is>
      </c>
      <c r="AT101" s="3" t="n"/>
    </row>
    <row r="102">
      <c r="A102" t="inlineStr">
        <is>
          <t>C-0115</t>
        </is>
      </c>
      <c r="B102" t="inlineStr">
        <is>
          <t>Lodolite Quartz</t>
        </is>
      </c>
      <c r="C102" t="inlineStr">
        <is>
          <t>Garden Quartz</t>
        </is>
      </c>
      <c r="D102" t="inlineStr">
        <is>
          <t>Quartz</t>
        </is>
      </c>
      <c r="E102" t="inlineStr">
        <is>
          <t>Quartz</t>
        </is>
      </c>
      <c r="F102" t="n">
        <v>2</v>
      </c>
      <c r="G102" t="n">
        <v>10</v>
      </c>
      <c r="H102" t="n">
        <v>115</v>
      </c>
      <c r="I102" t="n">
        <v>115</v>
      </c>
      <c r="J102" t="inlineStr">
        <is>
          <t>Lodestone</t>
        </is>
      </c>
      <c r="K102" t="inlineStr">
        <is>
          <t>lodestone</t>
        </is>
      </c>
      <c r="L102" t="inlineStr">
        <is>
          <t>Magnesite</t>
        </is>
      </c>
      <c r="M102" t="inlineStr">
        <is>
          <t>magnesite</t>
        </is>
      </c>
      <c r="N102" t="b">
        <v>0</v>
      </c>
      <c r="O102" t="inlineStr">
        <is>
          <t>lodolite-quartz</t>
        </is>
      </c>
      <c r="P102" t="inlineStr">
        <is>
          <t>Not Started</t>
        </is>
      </c>
      <c r="Q102" t="inlineStr">
        <is>
          <t>Third Eye</t>
        </is>
      </c>
      <c r="R102" t="inlineStr">
        <is>
          <t>Crown</t>
        </is>
      </c>
      <c r="S102" t="inlineStr">
        <is>
          <t>Third Eye</t>
        </is>
      </c>
      <c r="X102" t="inlineStr">
        <is>
          <t>Mineral</t>
        </is>
      </c>
      <c r="Z102" s="3" t="inlineStr">
        <is>
          <t>Inner vision</t>
        </is>
      </c>
      <c r="AA102" s="3" t="inlineStr">
        <is>
          <t>Use when you need to step back from immediate concerns and consider the larger inner landscape.</t>
        </is>
      </c>
      <c r="AB102" s="3" t="n"/>
      <c r="AC102" t="inlineStr">
        <is>
          <t>Intuition</t>
        </is>
      </c>
      <c r="AD102" t="inlineStr">
        <is>
          <t>Spiritual Connection</t>
        </is>
      </c>
      <c r="AF102" t="inlineStr">
        <is>
          <t>["Intuition","Meditation","Insight"]</t>
        </is>
      </c>
      <c r="AK102" t="b">
        <v>0</v>
      </c>
      <c r="AL102" t="inlineStr">
        <is>
          <t>Unreviewed</t>
        </is>
      </c>
      <c r="AM102" t="inlineStr">
        <is>
          <t>Not Started</t>
        </is>
      </c>
      <c r="AN102" t="inlineStr">
        <is>
          <t>Not Started</t>
        </is>
      </c>
      <c r="AO102" t="inlineStr">
        <is>
          <t>Not Started</t>
        </is>
      </c>
      <c r="AP102" t="inlineStr">
        <is>
          <t>Not Started</t>
        </is>
      </c>
      <c r="AR102" t="inlineStr">
        <is>
          <t>v0.3-2026-06-29</t>
        </is>
      </c>
      <c r="AT102" s="3" t="n"/>
    </row>
    <row r="103">
      <c r="A103" t="inlineStr">
        <is>
          <t>C-0256</t>
        </is>
      </c>
      <c r="B103" t="inlineStr">
        <is>
          <t>Magnesite</t>
        </is>
      </c>
      <c r="D103" t="inlineStr">
        <is>
          <t>Carbonates</t>
        </is>
      </c>
      <c r="E103" t="inlineStr">
        <is>
          <t>Magnesite</t>
        </is>
      </c>
      <c r="F103" t="n">
        <v>2</v>
      </c>
      <c r="G103" t="n">
        <v>11</v>
      </c>
      <c r="H103" t="n">
        <v>256</v>
      </c>
      <c r="I103" t="n">
        <v>256</v>
      </c>
      <c r="J103" t="inlineStr">
        <is>
          <t>Lodolite Quartz</t>
        </is>
      </c>
      <c r="K103" t="inlineStr">
        <is>
          <t>lodolite-quartz</t>
        </is>
      </c>
      <c r="L103" t="inlineStr">
        <is>
          <t>Magnetite</t>
        </is>
      </c>
      <c r="M103" t="inlineStr">
        <is>
          <t>magnetite</t>
        </is>
      </c>
      <c r="N103" t="b">
        <v>0</v>
      </c>
      <c r="O103" t="inlineStr">
        <is>
          <t>magnesite</t>
        </is>
      </c>
      <c r="P103" t="inlineStr">
        <is>
          <t>Not Started</t>
        </is>
      </c>
      <c r="Q103" t="inlineStr">
        <is>
          <t>Crown</t>
        </is>
      </c>
      <c r="R103" t="inlineStr">
        <is>
          <t>Third Eye</t>
        </is>
      </c>
      <c r="S103" t="inlineStr">
        <is>
          <t>Crown</t>
        </is>
      </c>
      <c r="X103" t="inlineStr">
        <is>
          <t>Mineral</t>
        </is>
      </c>
      <c r="Z103" s="3" t="inlineStr">
        <is>
          <t>Self-acceptance</t>
        </is>
      </c>
      <c r="AA103" s="3" t="inlineStr">
        <is>
          <t>Use when your inner voice has become demanding, critical, or unwilling to allow ordinary human limitation.</t>
        </is>
      </c>
      <c r="AB103" s="3" t="n"/>
      <c r="AC103" t="inlineStr">
        <is>
          <t>Calm &amp; Peace</t>
        </is>
      </c>
      <c r="AF103" t="inlineStr">
        <is>
          <t>["Calm","Acceptance","Peace"]</t>
        </is>
      </c>
      <c r="AK103" t="b">
        <v>0</v>
      </c>
      <c r="AL103" t="inlineStr">
        <is>
          <t>Unreviewed</t>
        </is>
      </c>
      <c r="AM103" t="inlineStr">
        <is>
          <t>Not Started</t>
        </is>
      </c>
      <c r="AN103" t="inlineStr">
        <is>
          <t>Not Started</t>
        </is>
      </c>
      <c r="AO103" t="inlineStr">
        <is>
          <t>Not Started</t>
        </is>
      </c>
      <c r="AP103" t="inlineStr">
        <is>
          <t>Not Started</t>
        </is>
      </c>
      <c r="AR103" t="inlineStr">
        <is>
          <t>v0.3-2026-06-29</t>
        </is>
      </c>
      <c r="AT103" s="3" t="n"/>
    </row>
    <row r="104">
      <c r="A104" t="inlineStr">
        <is>
          <t>C-0141</t>
        </is>
      </c>
      <c r="B104" t="inlineStr">
        <is>
          <t>Mahogany Obsidian</t>
        </is>
      </c>
      <c r="D104" t="inlineStr">
        <is>
          <t>Obsidian</t>
        </is>
      </c>
      <c r="E104" t="inlineStr">
        <is>
          <t>Obsidian</t>
        </is>
      </c>
      <c r="F104" t="n">
        <v>2</v>
      </c>
      <c r="G104" t="n">
        <v>11</v>
      </c>
      <c r="H104" t="n">
        <v>141</v>
      </c>
      <c r="I104" t="n">
        <v>141</v>
      </c>
      <c r="J104" t="inlineStr">
        <is>
          <t>Magnetite</t>
        </is>
      </c>
      <c r="K104" t="inlineStr">
        <is>
          <t>magnetite</t>
        </is>
      </c>
      <c r="L104" t="inlineStr">
        <is>
          <t>Malachite</t>
        </is>
      </c>
      <c r="M104" t="inlineStr">
        <is>
          <t>malachite</t>
        </is>
      </c>
      <c r="N104" t="b">
        <v>0</v>
      </c>
      <c r="O104" t="inlineStr">
        <is>
          <t>mahogany-obsidian</t>
        </is>
      </c>
      <c r="P104" t="inlineStr">
        <is>
          <t>Not Started</t>
        </is>
      </c>
      <c r="Q104" t="inlineStr">
        <is>
          <t>Root</t>
        </is>
      </c>
      <c r="R104" t="inlineStr">
        <is>
          <t>Sacral</t>
        </is>
      </c>
      <c r="S104" t="inlineStr">
        <is>
          <t>Root</t>
        </is>
      </c>
      <c r="X104" t="inlineStr">
        <is>
          <t>Mineraloid</t>
        </is>
      </c>
      <c r="Z104" s="3" t="inlineStr">
        <is>
          <t>Grounded recovery</t>
        </is>
      </c>
      <c r="AA104" s="3" t="inlineStr">
        <is>
          <t>Use when you are recovering from a setback and need strength that feels steady rather than forceful.</t>
        </is>
      </c>
      <c r="AB104" s="3" t="n"/>
      <c r="AC104" t="inlineStr">
        <is>
          <t>Grounding</t>
        </is>
      </c>
      <c r="AD104" t="inlineStr">
        <is>
          <t>Transformation</t>
        </is>
      </c>
      <c r="AE104" t="inlineStr">
        <is>
          <t>Confidence</t>
        </is>
      </c>
      <c r="AF104" t="inlineStr">
        <is>
          <t>["Grounding","Strength","Recovery"]</t>
        </is>
      </c>
      <c r="AK104" t="b">
        <v>0</v>
      </c>
      <c r="AL104" t="inlineStr">
        <is>
          <t>Unreviewed</t>
        </is>
      </c>
      <c r="AM104" t="inlineStr">
        <is>
          <t>Not Started</t>
        </is>
      </c>
      <c r="AN104" t="inlineStr">
        <is>
          <t>Not Started</t>
        </is>
      </c>
      <c r="AO104" t="inlineStr">
        <is>
          <t>Not Started</t>
        </is>
      </c>
      <c r="AP104" t="inlineStr">
        <is>
          <t>Not Started</t>
        </is>
      </c>
      <c r="AR104" t="inlineStr">
        <is>
          <t>v0.3-2026-06-29</t>
        </is>
      </c>
      <c r="AT104" s="3" t="n"/>
    </row>
    <row r="105">
      <c r="A105" t="inlineStr">
        <is>
          <t>C-0014</t>
        </is>
      </c>
      <c r="B105" t="inlineStr">
        <is>
          <t>Mangano Calcite</t>
        </is>
      </c>
      <c r="C105" t="inlineStr">
        <is>
          <t>Pink Calcite</t>
        </is>
      </c>
      <c r="D105" t="inlineStr">
        <is>
          <t>Calcite</t>
        </is>
      </c>
      <c r="E105" t="inlineStr">
        <is>
          <t>Calcite</t>
        </is>
      </c>
      <c r="F105" t="n">
        <v>2</v>
      </c>
      <c r="G105" t="n">
        <v>11</v>
      </c>
      <c r="H105" t="n">
        <v>14</v>
      </c>
      <c r="I105" t="n">
        <v>14</v>
      </c>
      <c r="J105" t="inlineStr">
        <is>
          <t>Malachite</t>
        </is>
      </c>
      <c r="K105" t="inlineStr">
        <is>
          <t>malachite</t>
        </is>
      </c>
      <c r="L105" t="inlineStr">
        <is>
          <t>Marcasite</t>
        </is>
      </c>
      <c r="M105" t="inlineStr">
        <is>
          <t>marcasite</t>
        </is>
      </c>
      <c r="N105" t="b">
        <v>0</v>
      </c>
      <c r="O105" t="inlineStr">
        <is>
          <t>mangano-calcite</t>
        </is>
      </c>
      <c r="P105" t="inlineStr">
        <is>
          <t>Not Started</t>
        </is>
      </c>
      <c r="Q105" t="inlineStr">
        <is>
          <t>Heart</t>
        </is>
      </c>
      <c r="S105" t="inlineStr">
        <is>
          <t>Heart</t>
        </is>
      </c>
      <c r="X105" t="inlineStr">
        <is>
          <t>Mineral</t>
        </is>
      </c>
      <c r="Z105" s="3" t="inlineStr">
        <is>
          <t>Gentle repair</t>
        </is>
      </c>
      <c r="AA105" s="3" t="inlineStr">
        <is>
          <t>Use when you need softness after conflict, grief, disappointment, or a period of being emotionally defended.</t>
        </is>
      </c>
      <c r="AB105" s="3" t="n"/>
      <c r="AC105" t="inlineStr">
        <is>
          <t>Clarity &amp; Focus</t>
        </is>
      </c>
      <c r="AD105" t="inlineStr">
        <is>
          <t>Amplification</t>
        </is>
      </c>
      <c r="AF105" t="inlineStr">
        <is>
          <t>["Healing","Compassion","Forgiveness"]</t>
        </is>
      </c>
      <c r="AK105" t="b">
        <v>0</v>
      </c>
      <c r="AL105" t="inlineStr">
        <is>
          <t>Unreviewed</t>
        </is>
      </c>
      <c r="AM105" t="inlineStr">
        <is>
          <t>Not Started</t>
        </is>
      </c>
      <c r="AN105" t="inlineStr">
        <is>
          <t>Not Started</t>
        </is>
      </c>
      <c r="AO105" t="inlineStr">
        <is>
          <t>Not Started</t>
        </is>
      </c>
      <c r="AP105" t="inlineStr">
        <is>
          <t>Not Started</t>
        </is>
      </c>
      <c r="AR105" t="inlineStr">
        <is>
          <t>v0.3-2026-06-29</t>
        </is>
      </c>
      <c r="AT105" s="3" t="n"/>
    </row>
    <row r="106">
      <c r="A106" t="inlineStr">
        <is>
          <t>C-0094</t>
        </is>
      </c>
      <c r="B106" t="inlineStr">
        <is>
          <t>Mookaite Jasper</t>
        </is>
      </c>
      <c r="D106" t="inlineStr">
        <is>
          <t>Quartz</t>
        </is>
      </c>
      <c r="E106" t="inlineStr">
        <is>
          <t>Quartz</t>
        </is>
      </c>
      <c r="F106" t="n">
        <v>2</v>
      </c>
      <c r="G106" t="n">
        <v>11</v>
      </c>
      <c r="H106" t="n">
        <v>94</v>
      </c>
      <c r="I106" t="n">
        <v>94</v>
      </c>
      <c r="J106" t="inlineStr">
        <is>
          <t>Moldavite</t>
        </is>
      </c>
      <c r="K106" t="inlineStr">
        <is>
          <t>moldavite</t>
        </is>
      </c>
      <c r="L106" t="inlineStr">
        <is>
          <t>Moonstone</t>
        </is>
      </c>
      <c r="M106" t="inlineStr">
        <is>
          <t>moonstone</t>
        </is>
      </c>
      <c r="N106" t="b">
        <v>0</v>
      </c>
      <c r="O106" t="inlineStr">
        <is>
          <t>mookaite-jasper</t>
        </is>
      </c>
      <c r="P106" t="inlineStr">
        <is>
          <t>Not Started</t>
        </is>
      </c>
      <c r="Q106" t="inlineStr">
        <is>
          <t>Solar Plexus</t>
        </is>
      </c>
      <c r="R106" t="inlineStr">
        <is>
          <t>Root</t>
        </is>
      </c>
      <c r="S106" t="inlineStr">
        <is>
          <t>Solar Plexus</t>
        </is>
      </c>
      <c r="X106" t="inlineStr">
        <is>
          <t>Mineral</t>
        </is>
      </c>
      <c r="Z106" s="3" t="inlineStr">
        <is>
          <t>Confident choice</t>
        </is>
      </c>
      <c r="AA106" s="3" t="inlineStr">
        <is>
          <t>Use when you face several worthwhile options and need courage to choose without demanding perfect certainty.</t>
        </is>
      </c>
      <c r="AB106" s="3" t="n"/>
      <c r="AC106" t="inlineStr">
        <is>
          <t>Vitality</t>
        </is>
      </c>
      <c r="AD106" t="inlineStr">
        <is>
          <t>Joy</t>
        </is>
      </c>
      <c r="AE106" t="inlineStr">
        <is>
          <t>Grounding</t>
        </is>
      </c>
      <c r="AF106" t="inlineStr">
        <is>
          <t>["Courage","Discernment","Adaptability"]</t>
        </is>
      </c>
      <c r="AK106" t="b">
        <v>0</v>
      </c>
      <c r="AL106" t="inlineStr">
        <is>
          <t>Unreviewed</t>
        </is>
      </c>
      <c r="AM106" t="inlineStr">
        <is>
          <t>Not Started</t>
        </is>
      </c>
      <c r="AN106" t="inlineStr">
        <is>
          <t>Not Started</t>
        </is>
      </c>
      <c r="AO106" t="inlineStr">
        <is>
          <t>Not Started</t>
        </is>
      </c>
      <c r="AP106" t="inlineStr">
        <is>
          <t>Not Started</t>
        </is>
      </c>
      <c r="AR106" t="inlineStr">
        <is>
          <t>v0.3-2026-06-29</t>
        </is>
      </c>
      <c r="AT106" s="3" t="n"/>
    </row>
    <row r="107">
      <c r="A107" t="inlineStr">
        <is>
          <t>C-0047</t>
        </is>
      </c>
      <c r="B107" t="inlineStr">
        <is>
          <t>Nephrite Jade</t>
        </is>
      </c>
      <c r="C107" t="inlineStr">
        <is>
          <t>Nephrite</t>
        </is>
      </c>
      <c r="D107" t="inlineStr">
        <is>
          <t>Silicates</t>
        </is>
      </c>
      <c r="E107" t="inlineStr">
        <is>
          <t>Actinolite-Tremolite</t>
        </is>
      </c>
      <c r="F107" t="n">
        <v>2</v>
      </c>
      <c r="G107" t="n">
        <v>11</v>
      </c>
      <c r="H107" t="n">
        <v>47</v>
      </c>
      <c r="I107" t="n">
        <v>47</v>
      </c>
      <c r="J107" t="inlineStr">
        <is>
          <t>Natrolite</t>
        </is>
      </c>
      <c r="K107" t="inlineStr">
        <is>
          <t>natrolite</t>
        </is>
      </c>
      <c r="L107" t="inlineStr">
        <is>
          <t>Nuumite</t>
        </is>
      </c>
      <c r="M107" t="inlineStr">
        <is>
          <t>nuumite</t>
        </is>
      </c>
      <c r="N107" t="b">
        <v>0</v>
      </c>
      <c r="O107" t="inlineStr">
        <is>
          <t>nephrite-jade</t>
        </is>
      </c>
      <c r="P107" t="inlineStr">
        <is>
          <t>Not Started</t>
        </is>
      </c>
      <c r="Q107" t="inlineStr">
        <is>
          <t>Heart</t>
        </is>
      </c>
      <c r="R107" t="inlineStr">
        <is>
          <t>Throat</t>
        </is>
      </c>
      <c r="S107" t="inlineStr">
        <is>
          <t>Heart</t>
        </is>
      </c>
      <c r="X107" t="inlineStr">
        <is>
          <t>Mineral</t>
        </is>
      </c>
      <c r="Z107" s="3" t="inlineStr">
        <is>
          <t>Lasting stability</t>
        </is>
      </c>
      <c r="AA107" s="3" t="inlineStr">
        <is>
          <t>Use when you want to build something secure and meaningful rather than chasing a quick result.</t>
        </is>
      </c>
      <c r="AB107" s="3" t="n"/>
      <c r="AC107" t="inlineStr">
        <is>
          <t>Protection</t>
        </is>
      </c>
      <c r="AD107" t="inlineStr">
        <is>
          <t>Vitality</t>
        </is>
      </c>
      <c r="AF107" t="inlineStr">
        <is>
          <t>["Luck","Abundance","Stability"]</t>
        </is>
      </c>
      <c r="AK107" t="b">
        <v>0</v>
      </c>
      <c r="AL107" t="inlineStr">
        <is>
          <t>Unreviewed</t>
        </is>
      </c>
      <c r="AM107" t="inlineStr">
        <is>
          <t>Not Started</t>
        </is>
      </c>
      <c r="AN107" t="inlineStr">
        <is>
          <t>Not Started</t>
        </is>
      </c>
      <c r="AO107" t="inlineStr">
        <is>
          <t>Not Started</t>
        </is>
      </c>
      <c r="AP107" t="inlineStr">
        <is>
          <t>Not Started</t>
        </is>
      </c>
      <c r="AR107" t="inlineStr">
        <is>
          <t>v0.3-2026-06-29</t>
        </is>
      </c>
      <c r="AT107" s="3" t="n"/>
    </row>
    <row r="108">
      <c r="A108" t="inlineStr">
        <is>
          <t>C-0158</t>
        </is>
      </c>
      <c r="B108" t="inlineStr">
        <is>
          <t>Onyx</t>
        </is>
      </c>
      <c r="D108" t="inlineStr">
        <is>
          <t>Aggregate</t>
        </is>
      </c>
      <c r="E108" t="inlineStr">
        <is>
          <t>Chalcedony</t>
        </is>
      </c>
      <c r="F108" t="n">
        <v>2</v>
      </c>
      <c r="G108" t="n">
        <v>11</v>
      </c>
      <c r="H108" t="n">
        <v>158</v>
      </c>
      <c r="I108" t="n">
        <v>158</v>
      </c>
      <c r="J108" t="inlineStr">
        <is>
          <t>Ocean Jasper</t>
        </is>
      </c>
      <c r="K108" t="inlineStr">
        <is>
          <t>ocean-jasper</t>
        </is>
      </c>
      <c r="L108" t="inlineStr">
        <is>
          <t>Opal</t>
        </is>
      </c>
      <c r="M108" t="inlineStr">
        <is>
          <t>opal</t>
        </is>
      </c>
      <c r="N108" t="b">
        <v>0</v>
      </c>
      <c r="O108" t="inlineStr">
        <is>
          <t>onyx</t>
        </is>
      </c>
      <c r="P108" t="inlineStr">
        <is>
          <t>Not Started</t>
        </is>
      </c>
      <c r="Q108" t="inlineStr">
        <is>
          <t>Root</t>
        </is>
      </c>
      <c r="S108" t="inlineStr">
        <is>
          <t>Root</t>
        </is>
      </c>
      <c r="X108" t="inlineStr">
        <is>
          <t>Mineral variety</t>
        </is>
      </c>
      <c r="Z108" s="3" t="inlineStr">
        <is>
          <t>Steady discipline</t>
        </is>
      </c>
      <c r="AA108" s="3" t="inlineStr">
        <is>
          <t>Use when emotions, distractions, or outside pressure are pulling you away from the standard you set for yourself.</t>
        </is>
      </c>
      <c r="AB108" s="3" t="n"/>
      <c r="AC108" t="inlineStr">
        <is>
          <t>Confidence</t>
        </is>
      </c>
      <c r="AD108" t="inlineStr">
        <is>
          <t>Protection</t>
        </is>
      </c>
      <c r="AF108" t="inlineStr">
        <is>
          <t>["Discipline","Grounding","Protection"]</t>
        </is>
      </c>
      <c r="AK108" t="b">
        <v>0</v>
      </c>
      <c r="AL108" t="inlineStr">
        <is>
          <t>Unreviewed</t>
        </is>
      </c>
      <c r="AM108" t="inlineStr">
        <is>
          <t>Not Started</t>
        </is>
      </c>
      <c r="AN108" t="inlineStr">
        <is>
          <t>Not Started</t>
        </is>
      </c>
      <c r="AO108" t="inlineStr">
        <is>
          <t>Not Started</t>
        </is>
      </c>
      <c r="AP108" t="inlineStr">
        <is>
          <t>Not Started</t>
        </is>
      </c>
      <c r="AR108" t="inlineStr">
        <is>
          <t>v0.3-2026-06-29</t>
        </is>
      </c>
      <c r="AT108" s="3" t="n"/>
    </row>
    <row r="109">
      <c r="A109" t="inlineStr">
        <is>
          <t>C-0262</t>
        </is>
      </c>
      <c r="B109" t="inlineStr">
        <is>
          <t>Opalite</t>
        </is>
      </c>
      <c r="D109" t="inlineStr">
        <is>
          <t>Synthetic Material</t>
        </is>
      </c>
      <c r="E109" t="inlineStr">
        <is>
          <t>Opalite</t>
        </is>
      </c>
      <c r="F109" t="n">
        <v>2</v>
      </c>
      <c r="G109" t="n">
        <v>11</v>
      </c>
      <c r="H109" t="n">
        <v>262</v>
      </c>
      <c r="I109" t="n">
        <v>262</v>
      </c>
      <c r="J109" t="inlineStr">
        <is>
          <t>Opal</t>
        </is>
      </c>
      <c r="K109" t="inlineStr">
        <is>
          <t>opal</t>
        </is>
      </c>
      <c r="L109" t="inlineStr">
        <is>
          <t>Optical Calcite</t>
        </is>
      </c>
      <c r="M109" t="inlineStr">
        <is>
          <t>optical-calcite</t>
        </is>
      </c>
      <c r="N109" t="b">
        <v>0</v>
      </c>
      <c r="O109" t="inlineStr">
        <is>
          <t>opalite</t>
        </is>
      </c>
      <c r="P109" t="inlineStr">
        <is>
          <t>Not Started</t>
        </is>
      </c>
      <c r="Q109" t="inlineStr">
        <is>
          <t>Crown</t>
        </is>
      </c>
      <c r="R109" t="inlineStr">
        <is>
          <t>Third Eye</t>
        </is>
      </c>
      <c r="S109" t="inlineStr">
        <is>
          <t>Crown</t>
        </is>
      </c>
      <c r="X109" t="inlineStr">
        <is>
          <t>Man-made</t>
        </is>
      </c>
      <c r="Z109" s="3" t="inlineStr">
        <is>
          <t>Gentle connection</t>
        </is>
      </c>
      <c r="AA109" s="3" t="inlineStr">
        <is>
          <t>Use when you want to approach a feeling, dream, or relationship with more openness and less defensiveness.</t>
        </is>
      </c>
      <c r="AB109" s="3" t="n"/>
      <c r="AC109" t="inlineStr">
        <is>
          <t>Calm &amp; Peace</t>
        </is>
      </c>
      <c r="AD109" t="inlineStr">
        <is>
          <t>Communication</t>
        </is>
      </c>
      <c r="AF109" t="inlineStr">
        <is>
          <t>["Imagination","Communication","Connection"]</t>
        </is>
      </c>
      <c r="AK109" t="b">
        <v>0</v>
      </c>
      <c r="AL109" t="inlineStr">
        <is>
          <t>Unreviewed</t>
        </is>
      </c>
      <c r="AM109" t="inlineStr">
        <is>
          <t>Not Started</t>
        </is>
      </c>
      <c r="AN109" t="inlineStr">
        <is>
          <t>Not Started</t>
        </is>
      </c>
      <c r="AO109" t="inlineStr">
        <is>
          <t>Not Started</t>
        </is>
      </c>
      <c r="AP109" t="inlineStr">
        <is>
          <t>Not Started</t>
        </is>
      </c>
      <c r="AR109" t="inlineStr">
        <is>
          <t>v0.3-2026-06-29</t>
        </is>
      </c>
      <c r="AT109" s="3" t="n"/>
    </row>
    <row r="110">
      <c r="A110" t="inlineStr">
        <is>
          <t>C-0016</t>
        </is>
      </c>
      <c r="B110" t="inlineStr">
        <is>
          <t>Orange Calcite</t>
        </is>
      </c>
      <c r="D110" t="inlineStr">
        <is>
          <t>Calcite</t>
        </is>
      </c>
      <c r="E110" t="inlineStr">
        <is>
          <t>Calcite</t>
        </is>
      </c>
      <c r="F110" t="n">
        <v>2</v>
      </c>
      <c r="G110" t="n">
        <v>11</v>
      </c>
      <c r="H110" t="n">
        <v>16</v>
      </c>
      <c r="I110" t="n">
        <v>16</v>
      </c>
      <c r="J110" t="inlineStr">
        <is>
          <t>Optical Calcite</t>
        </is>
      </c>
      <c r="K110" t="inlineStr">
        <is>
          <t>optical-calcite</t>
        </is>
      </c>
      <c r="L110" t="inlineStr">
        <is>
          <t>Orange Kyanite</t>
        </is>
      </c>
      <c r="M110" t="inlineStr">
        <is>
          <t>orange-kyanite</t>
        </is>
      </c>
      <c r="N110" t="b">
        <v>0</v>
      </c>
      <c r="O110" t="inlineStr">
        <is>
          <t>orange-calcite</t>
        </is>
      </c>
      <c r="P110" t="inlineStr">
        <is>
          <t>Not Started</t>
        </is>
      </c>
      <c r="Q110" t="inlineStr">
        <is>
          <t>Sacral</t>
        </is>
      </c>
      <c r="R110" t="inlineStr">
        <is>
          <t>Solar Plexus</t>
        </is>
      </c>
      <c r="S110" t="inlineStr">
        <is>
          <t>Sacral</t>
        </is>
      </c>
      <c r="X110" t="inlineStr">
        <is>
          <t>Mineral</t>
        </is>
      </c>
      <c r="Z110" s="3" t="inlineStr">
        <is>
          <t>Creative energy</t>
        </is>
      </c>
      <c r="AA110" s="3" t="inlineStr">
        <is>
          <t>Use when you feel emotionally flat, creatively blocked, or reluctant to reenter the flow of life.</t>
        </is>
      </c>
      <c r="AB110" s="3" t="n"/>
      <c r="AC110" t="inlineStr">
        <is>
          <t>Joy</t>
        </is>
      </c>
      <c r="AD110" t="inlineStr">
        <is>
          <t>Vitality</t>
        </is>
      </c>
      <c r="AF110" t="inlineStr">
        <is>
          <t>["Joy","Creativity","Energy"]</t>
        </is>
      </c>
      <c r="AK110" t="b">
        <v>0</v>
      </c>
      <c r="AL110" t="inlineStr">
        <is>
          <t>Unreviewed</t>
        </is>
      </c>
      <c r="AM110" t="inlineStr">
        <is>
          <t>Not Started</t>
        </is>
      </c>
      <c r="AN110" t="inlineStr">
        <is>
          <t>Not Started</t>
        </is>
      </c>
      <c r="AO110" t="inlineStr">
        <is>
          <t>Not Started</t>
        </is>
      </c>
      <c r="AP110" t="inlineStr">
        <is>
          <t>Not Started</t>
        </is>
      </c>
      <c r="AR110" t="inlineStr">
        <is>
          <t>v0.3-2026-06-29</t>
        </is>
      </c>
      <c r="AT110" s="3" t="n"/>
    </row>
    <row r="111">
      <c r="A111" t="inlineStr">
        <is>
          <t>C-0173</t>
        </is>
      </c>
      <c r="B111" t="inlineStr">
        <is>
          <t>Orange Selenite</t>
        </is>
      </c>
      <c r="D111" t="inlineStr">
        <is>
          <t>Gypsum</t>
        </is>
      </c>
      <c r="E111" t="inlineStr">
        <is>
          <t>Gypsum</t>
        </is>
      </c>
      <c r="F111" t="n">
        <v>2</v>
      </c>
      <c r="G111" t="n">
        <v>11</v>
      </c>
      <c r="H111" t="n">
        <v>173</v>
      </c>
      <c r="I111" t="n">
        <v>173</v>
      </c>
      <c r="J111" t="inlineStr">
        <is>
          <t>Orange Kyanite</t>
        </is>
      </c>
      <c r="K111" t="inlineStr">
        <is>
          <t>orange-kyanite</t>
        </is>
      </c>
      <c r="L111" t="inlineStr">
        <is>
          <t>Orca Agate</t>
        </is>
      </c>
      <c r="M111" t="inlineStr">
        <is>
          <t>orca-agate</t>
        </is>
      </c>
      <c r="N111" t="b">
        <v>0</v>
      </c>
      <c r="O111" t="inlineStr">
        <is>
          <t>orange-selenite</t>
        </is>
      </c>
      <c r="P111" t="inlineStr">
        <is>
          <t>Not Started</t>
        </is>
      </c>
      <c r="Q111" t="inlineStr">
        <is>
          <t>Sacral</t>
        </is>
      </c>
      <c r="R111" t="inlineStr">
        <is>
          <t>Solar Plexus</t>
        </is>
      </c>
      <c r="S111" t="inlineStr">
        <is>
          <t>Sacral</t>
        </is>
      </c>
      <c r="X111" t="inlineStr">
        <is>
          <t>Mineral</t>
        </is>
      </c>
      <c r="Z111" s="3" t="inlineStr">
        <is>
          <t>Creative reset</t>
        </is>
      </c>
      <c r="AA111" s="3" t="inlineStr">
        <is>
          <t>Use when you need a reset that clears heaviness while also inviting warmth and movement back in.</t>
        </is>
      </c>
      <c r="AB111" s="3" t="n"/>
      <c r="AC111" t="inlineStr">
        <is>
          <t>Clarity &amp; Focus</t>
        </is>
      </c>
      <c r="AD111" t="inlineStr">
        <is>
          <t>Vitality</t>
        </is>
      </c>
      <c r="AF111" t="inlineStr">
        <is>
          <t>["Purification","Creativity","Vitality"]</t>
        </is>
      </c>
      <c r="AK111" t="b">
        <v>0</v>
      </c>
      <c r="AL111" t="inlineStr">
        <is>
          <t>Unreviewed</t>
        </is>
      </c>
      <c r="AM111" t="inlineStr">
        <is>
          <t>Not Started</t>
        </is>
      </c>
      <c r="AN111" t="inlineStr">
        <is>
          <t>Not Started</t>
        </is>
      </c>
      <c r="AO111" t="inlineStr">
        <is>
          <t>Not Started</t>
        </is>
      </c>
      <c r="AP111" t="inlineStr">
        <is>
          <t>Not Started</t>
        </is>
      </c>
      <c r="AR111" t="inlineStr">
        <is>
          <t>v0.3-2026-06-29</t>
        </is>
      </c>
      <c r="AT111" s="3" t="n"/>
    </row>
    <row r="112">
      <c r="A112" t="inlineStr">
        <is>
          <t>C-0078</t>
        </is>
      </c>
      <c r="B112" t="inlineStr">
        <is>
          <t>Orca Agate</t>
        </is>
      </c>
      <c r="D112" t="inlineStr">
        <is>
          <t>Quartz</t>
        </is>
      </c>
      <c r="E112" t="inlineStr">
        <is>
          <t>Quartz</t>
        </is>
      </c>
      <c r="F112" t="n">
        <v>2</v>
      </c>
      <c r="G112" t="n">
        <v>12</v>
      </c>
      <c r="H112" t="n">
        <v>78</v>
      </c>
      <c r="I112" t="n">
        <v>78</v>
      </c>
      <c r="J112" t="inlineStr">
        <is>
          <t>Orange Selenite</t>
        </is>
      </c>
      <c r="K112" t="inlineStr">
        <is>
          <t>orange-selenite</t>
        </is>
      </c>
      <c r="L112" t="inlineStr">
        <is>
          <t>Orthoceras</t>
        </is>
      </c>
      <c r="M112" t="inlineStr">
        <is>
          <t>orthoceras</t>
        </is>
      </c>
      <c r="N112" t="b">
        <v>0</v>
      </c>
      <c r="O112" t="inlineStr">
        <is>
          <t>orca-agate</t>
        </is>
      </c>
      <c r="P112" t="inlineStr">
        <is>
          <t>Not Started</t>
        </is>
      </c>
      <c r="Q112" t="inlineStr">
        <is>
          <t>Throat</t>
        </is>
      </c>
      <c r="R112" t="inlineStr">
        <is>
          <t>Root</t>
        </is>
      </c>
      <c r="S112" t="inlineStr">
        <is>
          <t>Throat</t>
        </is>
      </c>
      <c r="X112" t="inlineStr">
        <is>
          <t>Mineral</t>
        </is>
      </c>
      <c r="Z112" s="3" t="inlineStr">
        <is>
          <t>Emotional release</t>
        </is>
      </c>
      <c r="AA112" s="3" t="inlineStr">
        <is>
          <t>Use when you have been holding something in because you are unsure how much emotion will come with the truth.</t>
        </is>
      </c>
      <c r="AB112" s="3" t="n"/>
      <c r="AC112" t="inlineStr">
        <is>
          <t>Emotional Balance</t>
        </is>
      </c>
      <c r="AD112" t="inlineStr">
        <is>
          <t>Transformation</t>
        </is>
      </c>
      <c r="AF112" t="inlineStr">
        <is>
          <t>["Healing","Acceptance","Communication"]</t>
        </is>
      </c>
      <c r="AK112" t="b">
        <v>0</v>
      </c>
      <c r="AL112" t="inlineStr">
        <is>
          <t>Unreviewed</t>
        </is>
      </c>
      <c r="AM112" t="inlineStr">
        <is>
          <t>Not Started</t>
        </is>
      </c>
      <c r="AN112" t="inlineStr">
        <is>
          <t>Not Started</t>
        </is>
      </c>
      <c r="AO112" t="inlineStr">
        <is>
          <t>Not Started</t>
        </is>
      </c>
      <c r="AP112" t="inlineStr">
        <is>
          <t>Not Started</t>
        </is>
      </c>
      <c r="AR112" t="inlineStr">
        <is>
          <t>v0.3-2026-06-29</t>
        </is>
      </c>
      <c r="AT112" s="3" t="n"/>
    </row>
    <row r="113">
      <c r="A113" t="inlineStr">
        <is>
          <t>C-0205</t>
        </is>
      </c>
      <c r="B113" t="inlineStr">
        <is>
          <t>Orthoceras</t>
        </is>
      </c>
      <c r="D113" t="inlineStr">
        <is>
          <t>Fossil Material</t>
        </is>
      </c>
      <c r="E113" t="inlineStr">
        <is>
          <t>Orthoceras</t>
        </is>
      </c>
      <c r="F113" t="n">
        <v>2</v>
      </c>
      <c r="G113" t="n">
        <v>12</v>
      </c>
      <c r="H113" t="n">
        <v>205</v>
      </c>
      <c r="I113" t="n">
        <v>205</v>
      </c>
      <c r="J113" t="inlineStr">
        <is>
          <t>Orca Agate</t>
        </is>
      </c>
      <c r="K113" t="inlineStr">
        <is>
          <t>orca-agate</t>
        </is>
      </c>
      <c r="L113" t="inlineStr">
        <is>
          <t>Papagoite</t>
        </is>
      </c>
      <c r="M113" t="inlineStr">
        <is>
          <t>papagoite</t>
        </is>
      </c>
      <c r="N113" t="b">
        <v>0</v>
      </c>
      <c r="O113" t="inlineStr">
        <is>
          <t>orthoceras</t>
        </is>
      </c>
      <c r="P113" t="inlineStr">
        <is>
          <t>Not Started</t>
        </is>
      </c>
      <c r="Q113" t="inlineStr">
        <is>
          <t>Root</t>
        </is>
      </c>
      <c r="S113" t="inlineStr">
        <is>
          <t>Root</t>
        </is>
      </c>
      <c r="X113" t="inlineStr">
        <is>
          <t>Fossil</t>
        </is>
      </c>
      <c r="Z113" s="3" t="inlineStr">
        <is>
          <t>Long-term perspective</t>
        </is>
      </c>
      <c r="AA113" s="3" t="inlineStr">
        <is>
          <t>Use when today feels overwhelming and you need to remember that the present moment is one layer within a much longer story.</t>
        </is>
      </c>
      <c r="AB113" s="3" t="n"/>
      <c r="AC113" t="inlineStr">
        <is>
          <t>Protection</t>
        </is>
      </c>
      <c r="AD113" t="inlineStr">
        <is>
          <t>Transformation</t>
        </is>
      </c>
      <c r="AE113" t="inlineStr">
        <is>
          <t>Grounding</t>
        </is>
      </c>
      <c r="AF113" t="inlineStr">
        <is>
          <t>["Grounding","Wisdom","Endurance"]</t>
        </is>
      </c>
      <c r="AK113" t="b">
        <v>0</v>
      </c>
      <c r="AL113" t="inlineStr">
        <is>
          <t>Unreviewed</t>
        </is>
      </c>
      <c r="AM113" t="inlineStr">
        <is>
          <t>Not Started</t>
        </is>
      </c>
      <c r="AN113" t="inlineStr">
        <is>
          <t>Not Started</t>
        </is>
      </c>
      <c r="AO113" t="inlineStr">
        <is>
          <t>Not Started</t>
        </is>
      </c>
      <c r="AP113" t="inlineStr">
        <is>
          <t>Not Started</t>
        </is>
      </c>
      <c r="AR113" t="inlineStr">
        <is>
          <t>v0.3-2026-06-29</t>
        </is>
      </c>
      <c r="AT113" s="3" t="n"/>
    </row>
    <row r="114">
      <c r="A114" t="inlineStr">
        <is>
          <t>C-0395</t>
        </is>
      </c>
      <c r="B114" t="inlineStr">
        <is>
          <t>Peach Moonstone</t>
        </is>
      </c>
      <c r="C114" t="inlineStr">
        <is>
          <t>Peach Moon, Salmon Moonstone</t>
        </is>
      </c>
      <c r="D114" t="inlineStr">
        <is>
          <t>Feldspar</t>
        </is>
      </c>
      <c r="E114" t="inlineStr">
        <is>
          <t>Orthoclase</t>
        </is>
      </c>
      <c r="F114" t="n">
        <v>2</v>
      </c>
      <c r="G114" t="n">
        <v>12</v>
      </c>
      <c r="H114" t="n">
        <v>0</v>
      </c>
      <c r="I114" t="n">
        <v>0</v>
      </c>
      <c r="J114" t="inlineStr">
        <is>
          <t>Papagoite</t>
        </is>
      </c>
      <c r="K114" t="inlineStr">
        <is>
          <t>papagoite</t>
        </is>
      </c>
      <c r="L114" t="inlineStr">
        <is>
          <t>Peridot</t>
        </is>
      </c>
      <c r="M114" t="inlineStr">
        <is>
          <t>peridot</t>
        </is>
      </c>
      <c r="N114" t="b">
        <v>0</v>
      </c>
      <c r="O114" t="inlineStr">
        <is>
          <t>peach-moonstone</t>
        </is>
      </c>
      <c r="P114" t="inlineStr">
        <is>
          <t>Not Started</t>
        </is>
      </c>
      <c r="Q114" t="inlineStr">
        <is>
          <t>Sacral</t>
        </is>
      </c>
      <c r="R114" t="inlineStr">
        <is>
          <t>Third Eye</t>
        </is>
      </c>
      <c r="S114" t="inlineStr">
        <is>
          <t>Sacral</t>
        </is>
      </c>
      <c r="X114" t="inlineStr">
        <is>
          <t>Mineral</t>
        </is>
      </c>
      <c r="Z114" s="3" t="inlineStr">
        <is>
          <t>Comforting intuition</t>
        </is>
      </c>
      <c r="AA114" s="3" t="inlineStr">
        <is>
          <t>Use when change feels emotionally tender and you need guidance that arrives through gentleness rather than pressure.</t>
        </is>
      </c>
      <c r="AB114" s="3" t="n"/>
      <c r="AC114" t="inlineStr">
        <is>
          <t>Self-Love</t>
        </is>
      </c>
      <c r="AD114" t="inlineStr">
        <is>
          <t>Emotional Balance</t>
        </is>
      </c>
      <c r="AE114" t="inlineStr">
        <is>
          <t>Intuition</t>
        </is>
      </c>
      <c r="AF114" t="inlineStr">
        <is>
          <t>["Intuition","Compassion","Balance"]</t>
        </is>
      </c>
      <c r="AK114" t="b">
        <v>0</v>
      </c>
      <c r="AL114" t="inlineStr">
        <is>
          <t>Unreviewed</t>
        </is>
      </c>
      <c r="AM114" t="inlineStr">
        <is>
          <t>Not Started</t>
        </is>
      </c>
      <c r="AN114" t="inlineStr">
        <is>
          <t>Not Started</t>
        </is>
      </c>
      <c r="AO114" t="inlineStr">
        <is>
          <t>Not Started</t>
        </is>
      </c>
      <c r="AP114" t="inlineStr">
        <is>
          <t>Not Started</t>
        </is>
      </c>
      <c r="AR114" t="inlineStr">
        <is>
          <t>v0.3-2026-06-29</t>
        </is>
      </c>
      <c r="AT114" s="3" t="n"/>
    </row>
    <row r="115">
      <c r="A115" t="inlineStr">
        <is>
          <t>C-0164</t>
        </is>
      </c>
      <c r="B115" t="inlineStr">
        <is>
          <t>Petrified Wood</t>
        </is>
      </c>
      <c r="D115" t="inlineStr">
        <is>
          <t>Fossil Material</t>
        </is>
      </c>
      <c r="E115" t="inlineStr">
        <is>
          <t>Petrified Wood</t>
        </is>
      </c>
      <c r="F115" t="n">
        <v>2</v>
      </c>
      <c r="G115" t="n">
        <v>12</v>
      </c>
      <c r="H115" t="n">
        <v>164</v>
      </c>
      <c r="I115" t="n">
        <v>164</v>
      </c>
      <c r="J115" t="inlineStr">
        <is>
          <t>Petalite</t>
        </is>
      </c>
      <c r="K115" t="inlineStr">
        <is>
          <t>petalite</t>
        </is>
      </c>
      <c r="L115" t="inlineStr">
        <is>
          <t>Phantom Quartz</t>
        </is>
      </c>
      <c r="M115" t="inlineStr">
        <is>
          <t>phantom-quartz</t>
        </is>
      </c>
      <c r="N115" t="b">
        <v>0</v>
      </c>
      <c r="O115" t="inlineStr">
        <is>
          <t>petrified-wood</t>
        </is>
      </c>
      <c r="P115" t="inlineStr">
        <is>
          <t>Not Started</t>
        </is>
      </c>
      <c r="Q115" t="inlineStr">
        <is>
          <t>Root</t>
        </is>
      </c>
      <c r="R115" t="inlineStr">
        <is>
          <t>Third Eye</t>
        </is>
      </c>
      <c r="S115" t="inlineStr">
        <is>
          <t>Root</t>
        </is>
      </c>
      <c r="X115" t="inlineStr">
        <is>
          <t>Fossil</t>
        </is>
      </c>
      <c r="Z115" s="3" t="inlineStr">
        <is>
          <t>Deep endurance</t>
        </is>
      </c>
      <c r="AA115" s="3" t="inlineStr">
        <is>
          <t>Use when you are building something that will take time and need reassurance that slow progress can still be strong progress.</t>
        </is>
      </c>
      <c r="AB115" s="3" t="n"/>
      <c r="AC115" t="inlineStr">
        <is>
          <t>Grounding</t>
        </is>
      </c>
      <c r="AD115" t="inlineStr">
        <is>
          <t>Calm &amp; Peace</t>
        </is>
      </c>
      <c r="AF115" t="inlineStr">
        <is>
          <t>["Grounding","Patience","Endurance"]</t>
        </is>
      </c>
      <c r="AK115" t="b">
        <v>0</v>
      </c>
      <c r="AL115" t="inlineStr">
        <is>
          <t>Unreviewed</t>
        </is>
      </c>
      <c r="AM115" t="inlineStr">
        <is>
          <t>Not Started</t>
        </is>
      </c>
      <c r="AN115" t="inlineStr">
        <is>
          <t>Not Started</t>
        </is>
      </c>
      <c r="AO115" t="inlineStr">
        <is>
          <t>Not Started</t>
        </is>
      </c>
      <c r="AP115" t="inlineStr">
        <is>
          <t>Not Started</t>
        </is>
      </c>
      <c r="AR115" t="inlineStr">
        <is>
          <t>v0.3-2026-06-29</t>
        </is>
      </c>
      <c r="AT115" s="3" t="n"/>
    </row>
    <row r="116">
      <c r="A116" t="inlineStr">
        <is>
          <t>C-0117</t>
        </is>
      </c>
      <c r="B116" t="inlineStr">
        <is>
          <t>Phantom Quartz</t>
        </is>
      </c>
      <c r="C116" t="inlineStr">
        <is>
          <t>Ghost Quartz</t>
        </is>
      </c>
      <c r="D116" t="inlineStr">
        <is>
          <t>Quartz</t>
        </is>
      </c>
      <c r="E116" t="inlineStr">
        <is>
          <t>Quartz</t>
        </is>
      </c>
      <c r="F116" t="n">
        <v>2</v>
      </c>
      <c r="G116" t="n">
        <v>12</v>
      </c>
      <c r="H116" t="n">
        <v>117</v>
      </c>
      <c r="I116" t="n">
        <v>117</v>
      </c>
      <c r="J116" t="inlineStr">
        <is>
          <t>Petrified Wood</t>
        </is>
      </c>
      <c r="K116" t="inlineStr">
        <is>
          <t>petrified-wood</t>
        </is>
      </c>
      <c r="L116" t="inlineStr">
        <is>
          <t>Phenakite</t>
        </is>
      </c>
      <c r="M116" t="inlineStr">
        <is>
          <t>phenakite</t>
        </is>
      </c>
      <c r="N116" t="b">
        <v>0</v>
      </c>
      <c r="O116" t="inlineStr">
        <is>
          <t>phantom-quartz</t>
        </is>
      </c>
      <c r="P116" t="inlineStr">
        <is>
          <t>Not Started</t>
        </is>
      </c>
      <c r="Q116" t="inlineStr">
        <is>
          <t>Crown</t>
        </is>
      </c>
      <c r="R116" t="inlineStr">
        <is>
          <t>Third Eye</t>
        </is>
      </c>
      <c r="S116" t="inlineStr">
        <is>
          <t>Crown</t>
        </is>
      </c>
      <c r="X116" t="inlineStr">
        <is>
          <t>Mineral</t>
        </is>
      </c>
      <c r="Z116" s="3" t="inlineStr">
        <is>
          <t>Personal growth</t>
        </is>
      </c>
      <c r="AA116" s="3" t="inlineStr">
        <is>
          <t>Use when you need perspective on how far you have come and what the next stage is asking of you.</t>
        </is>
      </c>
      <c r="AB116" s="3" t="n"/>
      <c r="AC116" t="inlineStr">
        <is>
          <t>Spiritual Connection</t>
        </is>
      </c>
      <c r="AD116" t="inlineStr">
        <is>
          <t>Transformation</t>
        </is>
      </c>
      <c r="AE116" t="inlineStr">
        <is>
          <t>Intuition</t>
        </is>
      </c>
      <c r="AF116" t="inlineStr">
        <is>
          <t>["Growth","Transformation","Insight"]</t>
        </is>
      </c>
      <c r="AK116" t="b">
        <v>0</v>
      </c>
      <c r="AL116" t="inlineStr">
        <is>
          <t>Unreviewed</t>
        </is>
      </c>
      <c r="AM116" t="inlineStr">
        <is>
          <t>Not Started</t>
        </is>
      </c>
      <c r="AN116" t="inlineStr">
        <is>
          <t>Not Started</t>
        </is>
      </c>
      <c r="AO116" t="inlineStr">
        <is>
          <t>Not Started</t>
        </is>
      </c>
      <c r="AP116" t="inlineStr">
        <is>
          <t>Not Started</t>
        </is>
      </c>
      <c r="AR116" t="inlineStr">
        <is>
          <t>v0.3-2026-06-29</t>
        </is>
      </c>
      <c r="AT116" s="3" t="n"/>
    </row>
    <row r="117">
      <c r="A117" t="inlineStr">
        <is>
          <t>C-0096</t>
        </is>
      </c>
      <c r="B117" t="inlineStr">
        <is>
          <t>Picasso Stone</t>
        </is>
      </c>
      <c r="D117" t="inlineStr">
        <is>
          <t>Limestone</t>
        </is>
      </c>
      <c r="E117" t="inlineStr">
        <is>
          <t>Metamorphosed Limestone</t>
        </is>
      </c>
      <c r="F117" t="n">
        <v>2</v>
      </c>
      <c r="G117" t="n">
        <v>12</v>
      </c>
      <c r="H117" t="n">
        <v>96</v>
      </c>
      <c r="I117" t="n">
        <v>96</v>
      </c>
      <c r="J117" t="inlineStr">
        <is>
          <t>Phosphosiderite</t>
        </is>
      </c>
      <c r="K117" t="inlineStr">
        <is>
          <t>phosphosiderite</t>
        </is>
      </c>
      <c r="L117" t="inlineStr">
        <is>
          <t>Picture Jasper</t>
        </is>
      </c>
      <c r="M117" t="inlineStr">
        <is>
          <t>picture-jasper</t>
        </is>
      </c>
      <c r="N117" t="b">
        <v>0</v>
      </c>
      <c r="O117" t="inlineStr">
        <is>
          <t>picasso-stone</t>
        </is>
      </c>
      <c r="P117" t="inlineStr">
        <is>
          <t>Not Started</t>
        </is>
      </c>
      <c r="Q117" t="inlineStr">
        <is>
          <t>Root</t>
        </is>
      </c>
      <c r="R117" t="inlineStr">
        <is>
          <t>Sacral</t>
        </is>
      </c>
      <c r="S117" t="inlineStr">
        <is>
          <t>Root</t>
        </is>
      </c>
      <c r="X117" t="inlineStr">
        <is>
          <t>Mineral</t>
        </is>
      </c>
      <c r="Z117" s="3" t="inlineStr">
        <is>
          <t>Structured transition</t>
        </is>
      </c>
      <c r="AA117" s="3" t="inlineStr">
        <is>
          <t>Use when relationships, routines, or circumstances are changing and you need to see the underlying structure more clearly.</t>
        </is>
      </c>
      <c r="AB117" s="3" t="n"/>
      <c r="AC117" t="inlineStr">
        <is>
          <t>Transformation</t>
        </is>
      </c>
      <c r="AD117" t="inlineStr">
        <is>
          <t>Joy</t>
        </is>
      </c>
      <c r="AF117" t="inlineStr">
        <is>
          <t>["Transformation","Connection","Grounding"]</t>
        </is>
      </c>
      <c r="AK117" t="b">
        <v>0</v>
      </c>
      <c r="AL117" t="inlineStr">
        <is>
          <t>Unreviewed</t>
        </is>
      </c>
      <c r="AM117" t="inlineStr">
        <is>
          <t>Not Started</t>
        </is>
      </c>
      <c r="AN117" t="inlineStr">
        <is>
          <t>Not Started</t>
        </is>
      </c>
      <c r="AO117" t="inlineStr">
        <is>
          <t>Not Started</t>
        </is>
      </c>
      <c r="AP117" t="inlineStr">
        <is>
          <t>Not Started</t>
        </is>
      </c>
      <c r="AR117" t="inlineStr">
        <is>
          <t>v0.3-2026-06-29</t>
        </is>
      </c>
      <c r="AT117" s="3" t="n"/>
    </row>
    <row r="118">
      <c r="A118" t="inlineStr">
        <is>
          <t>C-0097</t>
        </is>
      </c>
      <c r="B118" t="inlineStr">
        <is>
          <t>Picture Jasper</t>
        </is>
      </c>
      <c r="D118" t="inlineStr">
        <is>
          <t>Quartz</t>
        </is>
      </c>
      <c r="E118" t="inlineStr">
        <is>
          <t>Quartz</t>
        </is>
      </c>
      <c r="F118" t="n">
        <v>2</v>
      </c>
      <c r="G118" t="n">
        <v>12</v>
      </c>
      <c r="H118" t="n">
        <v>97</v>
      </c>
      <c r="I118" t="n">
        <v>97</v>
      </c>
      <c r="J118" t="inlineStr">
        <is>
          <t>Picasso Stone</t>
        </is>
      </c>
      <c r="K118" t="inlineStr">
        <is>
          <t>picasso-stone</t>
        </is>
      </c>
      <c r="L118" t="inlineStr">
        <is>
          <t>Pietersite</t>
        </is>
      </c>
      <c r="M118" t="inlineStr">
        <is>
          <t>pietersite</t>
        </is>
      </c>
      <c r="N118" t="b">
        <v>0</v>
      </c>
      <c r="O118" t="inlineStr">
        <is>
          <t>picture-jasper</t>
        </is>
      </c>
      <c r="P118" t="inlineStr">
        <is>
          <t>Not Started</t>
        </is>
      </c>
      <c r="Q118" t="inlineStr">
        <is>
          <t>Root</t>
        </is>
      </c>
      <c r="R118" t="inlineStr">
        <is>
          <t>Third Eye</t>
        </is>
      </c>
      <c r="S118" t="inlineStr">
        <is>
          <t>Root</t>
        </is>
      </c>
      <c r="X118" t="inlineStr">
        <is>
          <t>Mineral</t>
        </is>
      </c>
      <c r="Z118" s="3" t="inlineStr">
        <is>
          <t>Grounded perspective</t>
        </is>
      </c>
      <c r="AA118" s="3" t="inlineStr">
        <is>
          <t>Use when a problem feels enormous because your attention has become trapped inside its smallest details.</t>
        </is>
      </c>
      <c r="AB118" s="3" t="n"/>
      <c r="AC118" t="inlineStr">
        <is>
          <t>Grounding</t>
        </is>
      </c>
      <c r="AD118" t="inlineStr">
        <is>
          <t>Intuition</t>
        </is>
      </c>
      <c r="AF118" t="inlineStr">
        <is>
          <t>["Grounding","Wisdom","Insight"]</t>
        </is>
      </c>
      <c r="AK118" t="b">
        <v>0</v>
      </c>
      <c r="AL118" t="inlineStr">
        <is>
          <t>Unreviewed</t>
        </is>
      </c>
      <c r="AM118" t="inlineStr">
        <is>
          <t>Not Started</t>
        </is>
      </c>
      <c r="AN118" t="inlineStr">
        <is>
          <t>Not Started</t>
        </is>
      </c>
      <c r="AO118" t="inlineStr">
        <is>
          <t>Not Started</t>
        </is>
      </c>
      <c r="AP118" t="inlineStr">
        <is>
          <t>Not Started</t>
        </is>
      </c>
      <c r="AR118" t="inlineStr">
        <is>
          <t>v0.3-2026-06-29</t>
        </is>
      </c>
      <c r="AT118" s="3" t="n"/>
    </row>
    <row r="119">
      <c r="A119" t="inlineStr">
        <is>
          <t>C-9001</t>
        </is>
      </c>
      <c r="B119" t="inlineStr">
        <is>
          <t>Pink Amethyst</t>
        </is>
      </c>
      <c r="D119" t="inlineStr">
        <is>
          <t>Quartz</t>
        </is>
      </c>
      <c r="E119" t="inlineStr">
        <is>
          <t>Quartz</t>
        </is>
      </c>
      <c r="F119" t="n">
        <v>2</v>
      </c>
      <c r="G119" t="n">
        <v>12</v>
      </c>
      <c r="H119" t="n">
        <v>0</v>
      </c>
      <c r="I119" t="n">
        <v>0</v>
      </c>
      <c r="J119" t="inlineStr">
        <is>
          <t>Pietersite</t>
        </is>
      </c>
      <c r="K119" t="inlineStr">
        <is>
          <t>pietersite</t>
        </is>
      </c>
      <c r="L119" t="inlineStr">
        <is>
          <t>Pink Aragonite</t>
        </is>
      </c>
      <c r="M119" t="inlineStr">
        <is>
          <t>pink-aragonite</t>
        </is>
      </c>
      <c r="N119" t="b">
        <v>0</v>
      </c>
      <c r="O119" t="inlineStr">
        <is>
          <t>pink-amethyst</t>
        </is>
      </c>
      <c r="P119" t="inlineStr">
        <is>
          <t>Not Started</t>
        </is>
      </c>
      <c r="Q119" t="inlineStr">
        <is>
          <t>Heart</t>
        </is>
      </c>
      <c r="S119" t="inlineStr">
        <is>
          <t>Heart</t>
        </is>
      </c>
      <c r="X119" t="inlineStr">
        <is>
          <t>Mineral</t>
        </is>
      </c>
      <c r="Z119" s="3" t="inlineStr">
        <is>
          <t>Peaceful healing</t>
        </is>
      </c>
      <c r="AA119" s="3" t="inlineStr">
        <is>
          <t>Use when you need emotional healing that feels quiet, spacious, and free from pressure to recover quickly.</t>
        </is>
      </c>
      <c r="AB119" s="3" t="n"/>
      <c r="AC119" t="inlineStr">
        <is>
          <t>Heart Healing</t>
        </is>
      </c>
      <c r="AD119" t="inlineStr">
        <is>
          <t>Emotional Balance</t>
        </is>
      </c>
      <c r="AE119" t="inlineStr">
        <is>
          <t>Calm &amp; Peace</t>
        </is>
      </c>
      <c r="AF119" t="inlineStr">
        <is>
          <t>["Healing","Peace","Compassion"]</t>
        </is>
      </c>
      <c r="AK119" t="b">
        <v>0</v>
      </c>
      <c r="AL119" t="inlineStr">
        <is>
          <t>Unreviewed</t>
        </is>
      </c>
      <c r="AM119" t="inlineStr">
        <is>
          <t>Not Started</t>
        </is>
      </c>
      <c r="AN119" t="inlineStr">
        <is>
          <t>Not Started</t>
        </is>
      </c>
      <c r="AO119" t="inlineStr">
        <is>
          <t>Not Started</t>
        </is>
      </c>
      <c r="AP119" t="inlineStr">
        <is>
          <t>Not Started</t>
        </is>
      </c>
      <c r="AR119" t="inlineStr">
        <is>
          <t>v0.3-2026-06-29</t>
        </is>
      </c>
      <c r="AT119" s="3" t="n"/>
    </row>
    <row r="120">
      <c r="A120" t="inlineStr">
        <is>
          <t>C-0084</t>
        </is>
      </c>
      <c r="B120" t="inlineStr">
        <is>
          <t>Pink Chalcedony</t>
        </is>
      </c>
      <c r="D120" t="inlineStr">
        <is>
          <t>Quartz</t>
        </is>
      </c>
      <c r="E120" t="inlineStr">
        <is>
          <t>Quartz</t>
        </is>
      </c>
      <c r="F120" t="n">
        <v>2</v>
      </c>
      <c r="G120" t="n">
        <v>13</v>
      </c>
      <c r="H120" t="n">
        <v>84</v>
      </c>
      <c r="I120" t="n">
        <v>84</v>
      </c>
      <c r="J120" t="inlineStr">
        <is>
          <t>Pink Aventurine</t>
        </is>
      </c>
      <c r="K120" t="inlineStr">
        <is>
          <t>pink-aventurine</t>
        </is>
      </c>
      <c r="L120" t="inlineStr">
        <is>
          <t>Pink Fluorite</t>
        </is>
      </c>
      <c r="M120" t="inlineStr">
        <is>
          <t>pink-fluorite</t>
        </is>
      </c>
      <c r="N120" t="b">
        <v>0</v>
      </c>
      <c r="O120" t="inlineStr">
        <is>
          <t>pink-chalcedony</t>
        </is>
      </c>
      <c r="P120" t="inlineStr">
        <is>
          <t>Not Started</t>
        </is>
      </c>
      <c r="Q120" t="inlineStr">
        <is>
          <t>Heart</t>
        </is>
      </c>
      <c r="S120" t="inlineStr">
        <is>
          <t>Heart</t>
        </is>
      </c>
      <c r="X120" t="inlineStr">
        <is>
          <t>Mineral</t>
        </is>
      </c>
      <c r="Z120" s="3" t="inlineStr">
        <is>
          <t>Emotional safety</t>
        </is>
      </c>
      <c r="AA120" s="3" t="inlineStr">
        <is>
          <t>Use when you want to open your heart again but need the process to feel gradual, protected, and sincere.</t>
        </is>
      </c>
      <c r="AB120" s="3" t="n"/>
      <c r="AC120" t="inlineStr">
        <is>
          <t>Heart Healing</t>
        </is>
      </c>
      <c r="AD120" t="inlineStr">
        <is>
          <t>Self-Love</t>
        </is>
      </c>
      <c r="AF120" t="inlineStr">
        <is>
          <t>["Healing","Love","Trust"]</t>
        </is>
      </c>
      <c r="AK120" t="b">
        <v>0</v>
      </c>
      <c r="AL120" t="inlineStr">
        <is>
          <t>Unreviewed</t>
        </is>
      </c>
      <c r="AM120" t="inlineStr">
        <is>
          <t>Not Started</t>
        </is>
      </c>
      <c r="AN120" t="inlineStr">
        <is>
          <t>Not Started</t>
        </is>
      </c>
      <c r="AO120" t="inlineStr">
        <is>
          <t>Not Started</t>
        </is>
      </c>
      <c r="AP120" t="inlineStr">
        <is>
          <t>Not Started</t>
        </is>
      </c>
      <c r="AR120" t="inlineStr">
        <is>
          <t>v0.3-2026-06-29</t>
        </is>
      </c>
      <c r="AT120" s="3" t="n"/>
    </row>
    <row r="121">
      <c r="A121" t="inlineStr">
        <is>
          <t>C-0165</t>
        </is>
      </c>
      <c r="B121" t="inlineStr">
        <is>
          <t>Pink Opal</t>
        </is>
      </c>
      <c r="D121" t="inlineStr">
        <is>
          <t>Opal</t>
        </is>
      </c>
      <c r="E121" t="inlineStr">
        <is>
          <t>Opal</t>
        </is>
      </c>
      <c r="F121" t="n">
        <v>2</v>
      </c>
      <c r="G121" t="n">
        <v>13</v>
      </c>
      <c r="H121" t="n">
        <v>165</v>
      </c>
      <c r="I121" t="n">
        <v>165</v>
      </c>
      <c r="J121" t="inlineStr">
        <is>
          <t>Pink Halite</t>
        </is>
      </c>
      <c r="K121" t="inlineStr">
        <is>
          <t>pink-halite</t>
        </is>
      </c>
      <c r="L121" t="inlineStr">
        <is>
          <t>Pink Tourmaline</t>
        </is>
      </c>
      <c r="M121" t="inlineStr">
        <is>
          <t>pink-tourmaline</t>
        </is>
      </c>
      <c r="N121" t="b">
        <v>0</v>
      </c>
      <c r="O121" t="inlineStr">
        <is>
          <t>pink-opal</t>
        </is>
      </c>
      <c r="P121" t="inlineStr">
        <is>
          <t>Not Started</t>
        </is>
      </c>
      <c r="Q121" t="inlineStr">
        <is>
          <t>Heart</t>
        </is>
      </c>
      <c r="S121" t="inlineStr">
        <is>
          <t>Heart</t>
        </is>
      </c>
      <c r="X121" t="inlineStr">
        <is>
          <t>Mineraloid</t>
        </is>
      </c>
      <c r="Z121" s="3" t="inlineStr">
        <is>
          <t>Tender release</t>
        </is>
      </c>
      <c r="AA121" s="3" t="inlineStr">
        <is>
          <t>Use when feelings are close to the surface and you need permission to experience them without becoming overwhelmed.</t>
        </is>
      </c>
      <c r="AB121" s="3" t="n"/>
      <c r="AC121" t="inlineStr">
        <is>
          <t>Self-Love</t>
        </is>
      </c>
      <c r="AD121" t="inlineStr">
        <is>
          <t>Heart Healing</t>
        </is>
      </c>
      <c r="AF121" t="inlineStr">
        <is>
          <t>["Healing","Love","Compassion"]</t>
        </is>
      </c>
      <c r="AK121" t="b">
        <v>0</v>
      </c>
      <c r="AL121" t="inlineStr">
        <is>
          <t>Unreviewed</t>
        </is>
      </c>
      <c r="AM121" t="inlineStr">
        <is>
          <t>Not Started</t>
        </is>
      </c>
      <c r="AN121" t="inlineStr">
        <is>
          <t>Not Started</t>
        </is>
      </c>
      <c r="AO121" t="inlineStr">
        <is>
          <t>Not Started</t>
        </is>
      </c>
      <c r="AP121" t="inlineStr">
        <is>
          <t>Not Started</t>
        </is>
      </c>
      <c r="AR121" t="inlineStr">
        <is>
          <t>v0.3-2026-06-29</t>
        </is>
      </c>
      <c r="AT121" s="3" t="n"/>
    </row>
    <row r="122">
      <c r="A122" t="inlineStr">
        <is>
          <t>C-0098</t>
        </is>
      </c>
      <c r="B122" t="inlineStr">
        <is>
          <t>Polychrome Jasper</t>
        </is>
      </c>
      <c r="D122" t="inlineStr">
        <is>
          <t>Quartz</t>
        </is>
      </c>
      <c r="E122" t="inlineStr">
        <is>
          <t>Quartz</t>
        </is>
      </c>
      <c r="F122" t="n">
        <v>2</v>
      </c>
      <c r="G122" t="n">
        <v>13</v>
      </c>
      <c r="H122" t="n">
        <v>98</v>
      </c>
      <c r="I122" t="n">
        <v>98</v>
      </c>
      <c r="J122" t="inlineStr">
        <is>
          <t>Pink Tourmaline</t>
        </is>
      </c>
      <c r="K122" t="inlineStr">
        <is>
          <t>pink-tourmaline</t>
        </is>
      </c>
      <c r="L122" t="inlineStr">
        <is>
          <t>Prasiolite</t>
        </is>
      </c>
      <c r="M122" t="inlineStr">
        <is>
          <t>prasiolite</t>
        </is>
      </c>
      <c r="N122" t="b">
        <v>0</v>
      </c>
      <c r="O122" t="inlineStr">
        <is>
          <t>polychrome-jasper</t>
        </is>
      </c>
      <c r="P122" t="inlineStr">
        <is>
          <t>Not Started</t>
        </is>
      </c>
      <c r="Q122" t="inlineStr">
        <is>
          <t>Root</t>
        </is>
      </c>
      <c r="S122" t="inlineStr">
        <is>
          <t>Root</t>
        </is>
      </c>
      <c r="X122" t="inlineStr">
        <is>
          <t>Mineral</t>
        </is>
      </c>
      <c r="Z122" s="3" t="inlineStr">
        <is>
          <t>Embodied wholeness</t>
        </is>
      </c>
      <c r="AA122" s="3" t="inlineStr">
        <is>
          <t>Use when you feel divided between different roles, desires, or versions of yourself.</t>
        </is>
      </c>
      <c r="AB122" s="3" t="n"/>
      <c r="AC122" t="inlineStr">
        <is>
          <t>Vitality</t>
        </is>
      </c>
      <c r="AD122" t="inlineStr">
        <is>
          <t>Amplification</t>
        </is>
      </c>
      <c r="AF122" t="inlineStr">
        <is>
          <t>["Embodiment","Vitality","Acceptance"]</t>
        </is>
      </c>
      <c r="AK122" t="b">
        <v>0</v>
      </c>
      <c r="AL122" t="inlineStr">
        <is>
          <t>Unreviewed</t>
        </is>
      </c>
      <c r="AM122" t="inlineStr">
        <is>
          <t>Not Started</t>
        </is>
      </c>
      <c r="AN122" t="inlineStr">
        <is>
          <t>Not Started</t>
        </is>
      </c>
      <c r="AO122" t="inlineStr">
        <is>
          <t>Not Started</t>
        </is>
      </c>
      <c r="AP122" t="inlineStr">
        <is>
          <t>Not Started</t>
        </is>
      </c>
      <c r="AR122" t="inlineStr">
        <is>
          <t>v0.3-2026-06-29</t>
        </is>
      </c>
      <c r="AT122" s="3" t="n"/>
    </row>
    <row r="123">
      <c r="A123" t="inlineStr">
        <is>
          <t>C-0126</t>
        </is>
      </c>
      <c r="B123" t="inlineStr">
        <is>
          <t>Prasiolite</t>
        </is>
      </c>
      <c r="D123" t="inlineStr">
        <is>
          <t>Quartz</t>
        </is>
      </c>
      <c r="E123" t="inlineStr">
        <is>
          <t>Quartz</t>
        </is>
      </c>
      <c r="F123" t="n">
        <v>2</v>
      </c>
      <c r="G123" t="n">
        <v>13</v>
      </c>
      <c r="H123" t="n">
        <v>126</v>
      </c>
      <c r="I123" t="n">
        <v>126</v>
      </c>
      <c r="J123" t="inlineStr">
        <is>
          <t>Polychrome Jasper</t>
        </is>
      </c>
      <c r="K123" t="inlineStr">
        <is>
          <t>polychrome-jasper</t>
        </is>
      </c>
      <c r="L123" t="inlineStr">
        <is>
          <t>Prehnite</t>
        </is>
      </c>
      <c r="M123" t="inlineStr">
        <is>
          <t>prehnite</t>
        </is>
      </c>
      <c r="N123" t="b">
        <v>0</v>
      </c>
      <c r="O123" t="inlineStr">
        <is>
          <t>prasiolite</t>
        </is>
      </c>
      <c r="P123" t="inlineStr">
        <is>
          <t>Not Started</t>
        </is>
      </c>
      <c r="Q123" t="inlineStr">
        <is>
          <t>Heart</t>
        </is>
      </c>
      <c r="R123" t="inlineStr">
        <is>
          <t>Crown</t>
        </is>
      </c>
      <c r="S123" t="inlineStr">
        <is>
          <t>Heart</t>
        </is>
      </c>
      <c r="X123" t="inlineStr">
        <is>
          <t>Mineral</t>
        </is>
      </c>
      <c r="Z123" s="3" t="inlineStr">
        <is>
          <t>Heart renewal</t>
        </is>
      </c>
      <c r="AA123" s="3" t="inlineStr">
        <is>
          <t>Use when you are ready to become hopeful again but do not want to ignore what previous disappointment taught you.</t>
        </is>
      </c>
      <c r="AB123" s="3" t="n"/>
      <c r="AC123" t="inlineStr">
        <is>
          <t>Grounding</t>
        </is>
      </c>
      <c r="AD123" t="inlineStr">
        <is>
          <t>Clarity &amp; Focus</t>
        </is>
      </c>
      <c r="AF123" t="inlineStr">
        <is>
          <t>["Healing","Renewal","Hope"]</t>
        </is>
      </c>
      <c r="AK123" t="b">
        <v>0</v>
      </c>
      <c r="AL123" t="inlineStr">
        <is>
          <t>Unreviewed</t>
        </is>
      </c>
      <c r="AM123" t="inlineStr">
        <is>
          <t>Not Started</t>
        </is>
      </c>
      <c r="AN123" t="inlineStr">
        <is>
          <t>Not Started</t>
        </is>
      </c>
      <c r="AO123" t="inlineStr">
        <is>
          <t>Not Started</t>
        </is>
      </c>
      <c r="AP123" t="inlineStr">
        <is>
          <t>Not Started</t>
        </is>
      </c>
      <c r="AR123" t="inlineStr">
        <is>
          <t>v0.3-2026-06-29</t>
        </is>
      </c>
      <c r="AT123" s="3" t="n"/>
    </row>
    <row r="124">
      <c r="A124" t="inlineStr">
        <is>
          <t>C-0211</t>
        </is>
      </c>
      <c r="B124" t="inlineStr">
        <is>
          <t>Prehnite</t>
        </is>
      </c>
      <c r="D124" t="inlineStr">
        <is>
          <t>Silicates</t>
        </is>
      </c>
      <c r="E124" t="inlineStr">
        <is>
          <t>Prehnite</t>
        </is>
      </c>
      <c r="F124" t="n">
        <v>2</v>
      </c>
      <c r="G124" t="n">
        <v>13</v>
      </c>
      <c r="H124" t="n">
        <v>211</v>
      </c>
      <c r="I124" t="n">
        <v>211</v>
      </c>
      <c r="J124" t="inlineStr">
        <is>
          <t>Prasiolite</t>
        </is>
      </c>
      <c r="K124" t="inlineStr">
        <is>
          <t>prasiolite</t>
        </is>
      </c>
      <c r="L124" t="inlineStr">
        <is>
          <t>Prophecy Stone</t>
        </is>
      </c>
      <c r="M124" t="inlineStr">
        <is>
          <t>prophecy-stone</t>
        </is>
      </c>
      <c r="N124" t="b">
        <v>0</v>
      </c>
      <c r="O124" t="inlineStr">
        <is>
          <t>prehnite</t>
        </is>
      </c>
      <c r="P124" t="inlineStr">
        <is>
          <t>Not Started</t>
        </is>
      </c>
      <c r="Q124" t="inlineStr">
        <is>
          <t>Heart</t>
        </is>
      </c>
      <c r="R124" t="inlineStr">
        <is>
          <t>Third Eye</t>
        </is>
      </c>
      <c r="S124" t="inlineStr">
        <is>
          <t>Heart</t>
        </is>
      </c>
      <c r="X124" t="inlineStr">
        <is>
          <t>Mineral</t>
        </is>
      </c>
      <c r="Z124" s="3" t="inlineStr">
        <is>
          <t>Calm anticipation</t>
        </is>
      </c>
      <c r="AA124" s="3" t="inlineStr">
        <is>
          <t>Use when you sense that something is changing but do not yet know what the outcome will be.</t>
        </is>
      </c>
      <c r="AB124" s="3" t="n"/>
      <c r="AC124" t="inlineStr">
        <is>
          <t>Calm &amp; Peace</t>
        </is>
      </c>
      <c r="AD124" t="inlineStr">
        <is>
          <t>Intuition</t>
        </is>
      </c>
      <c r="AF124" t="inlineStr">
        <is>
          <t>["Intuition","Calm","Trust"]</t>
        </is>
      </c>
      <c r="AK124" t="b">
        <v>0</v>
      </c>
      <c r="AL124" t="inlineStr">
        <is>
          <t>Unreviewed</t>
        </is>
      </c>
      <c r="AM124" t="inlineStr">
        <is>
          <t>Not Started</t>
        </is>
      </c>
      <c r="AN124" t="inlineStr">
        <is>
          <t>Not Started</t>
        </is>
      </c>
      <c r="AO124" t="inlineStr">
        <is>
          <t>Not Started</t>
        </is>
      </c>
      <c r="AP124" t="inlineStr">
        <is>
          <t>Not Started</t>
        </is>
      </c>
      <c r="AR124" t="inlineStr">
        <is>
          <t>v0.3-2026-06-29</t>
        </is>
      </c>
      <c r="AT124" s="3" t="n"/>
    </row>
    <row r="125">
      <c r="A125" t="inlineStr">
        <is>
          <t>C-0034</t>
        </is>
      </c>
      <c r="B125" t="inlineStr">
        <is>
          <t>Purple Fluorite</t>
        </is>
      </c>
      <c r="D125" t="inlineStr">
        <is>
          <t>Fluorite</t>
        </is>
      </c>
      <c r="E125" t="inlineStr">
        <is>
          <t>Fluorite</t>
        </is>
      </c>
      <c r="F125" t="n">
        <v>2</v>
      </c>
      <c r="G125" t="n">
        <v>13</v>
      </c>
      <c r="H125" t="n">
        <v>34</v>
      </c>
      <c r="I125" t="n">
        <v>34</v>
      </c>
      <c r="J125" t="inlineStr">
        <is>
          <t>Purple Chalcedony</t>
        </is>
      </c>
      <c r="K125" t="inlineStr">
        <is>
          <t>purple-chalcedony</t>
        </is>
      </c>
      <c r="L125" t="inlineStr">
        <is>
          <t>Purpurite</t>
        </is>
      </c>
      <c r="M125" t="inlineStr">
        <is>
          <t>purpurite</t>
        </is>
      </c>
      <c r="N125" t="b">
        <v>0</v>
      </c>
      <c r="O125" t="inlineStr">
        <is>
          <t>purple-fluorite</t>
        </is>
      </c>
      <c r="P125" t="inlineStr">
        <is>
          <t>Not Started</t>
        </is>
      </c>
      <c r="Q125" t="inlineStr">
        <is>
          <t>Third Eye</t>
        </is>
      </c>
      <c r="R125" t="inlineStr">
        <is>
          <t>Crown</t>
        </is>
      </c>
      <c r="S125" t="inlineStr">
        <is>
          <t>Third Eye</t>
        </is>
      </c>
      <c r="X125" t="inlineStr">
        <is>
          <t>Mineral</t>
        </is>
      </c>
      <c r="Z125" s="3" t="inlineStr">
        <is>
          <t>Intuitive discernment</t>
        </is>
      </c>
      <c r="AA125" s="3" t="inlineStr">
        <is>
          <t>Use when you are receiving many impressions and need to decide which ones deserve your trust and attention.</t>
        </is>
      </c>
      <c r="AB125" s="3" t="n"/>
      <c r="AC125" t="inlineStr">
        <is>
          <t>Intuition</t>
        </is>
      </c>
      <c r="AD125" t="inlineStr">
        <is>
          <t>Spiritual Connection</t>
        </is>
      </c>
      <c r="AF125" t="inlineStr">
        <is>
          <t>["Intuition","Clarity","Discernment"]</t>
        </is>
      </c>
      <c r="AK125" t="b">
        <v>0</v>
      </c>
      <c r="AL125" t="inlineStr">
        <is>
          <t>Unreviewed</t>
        </is>
      </c>
      <c r="AM125" t="inlineStr">
        <is>
          <t>Not Started</t>
        </is>
      </c>
      <c r="AN125" t="inlineStr">
        <is>
          <t>Not Started</t>
        </is>
      </c>
      <c r="AO125" t="inlineStr">
        <is>
          <t>Not Started</t>
        </is>
      </c>
      <c r="AP125" t="inlineStr">
        <is>
          <t>Not Started</t>
        </is>
      </c>
      <c r="AR125" t="inlineStr">
        <is>
          <t>v0.3-2026-06-29</t>
        </is>
      </c>
      <c r="AT125" s="3" t="n"/>
    </row>
    <row r="126">
      <c r="A126" t="inlineStr">
        <is>
          <t>C-0142</t>
        </is>
      </c>
      <c r="B126" t="inlineStr">
        <is>
          <t>Rainbow Obsidian</t>
        </is>
      </c>
      <c r="D126" t="inlineStr">
        <is>
          <t>Obsidian</t>
        </is>
      </c>
      <c r="E126" t="inlineStr">
        <is>
          <t>Obsidian</t>
        </is>
      </c>
      <c r="F126" t="n">
        <v>2</v>
      </c>
      <c r="G126" t="n">
        <v>13</v>
      </c>
      <c r="H126" t="n">
        <v>142</v>
      </c>
      <c r="I126" t="n">
        <v>142</v>
      </c>
      <c r="J126" t="inlineStr">
        <is>
          <t>Rainbow Moonstone</t>
        </is>
      </c>
      <c r="K126" t="inlineStr">
        <is>
          <t>rainbow-moonstone</t>
        </is>
      </c>
      <c r="L126" t="inlineStr">
        <is>
          <t>Red Aventurine</t>
        </is>
      </c>
      <c r="M126" t="inlineStr">
        <is>
          <t>red-aventurine</t>
        </is>
      </c>
      <c r="N126" t="b">
        <v>0</v>
      </c>
      <c r="O126" t="inlineStr">
        <is>
          <t>rainbow-obsidian</t>
        </is>
      </c>
      <c r="P126" t="inlineStr">
        <is>
          <t>Not Started</t>
        </is>
      </c>
      <c r="Q126" t="inlineStr">
        <is>
          <t>Root</t>
        </is>
      </c>
      <c r="R126" t="inlineStr">
        <is>
          <t>Heart</t>
        </is>
      </c>
      <c r="S126" t="inlineStr">
        <is>
          <t>Root</t>
        </is>
      </c>
      <c r="X126" t="inlineStr">
        <is>
          <t>Mineraloid</t>
        </is>
      </c>
      <c r="Z126" s="3" t="inlineStr">
        <is>
          <t>Emotional insight</t>
        </is>
      </c>
      <c r="AA126" s="3" t="inlineStr">
        <is>
          <t>Use when you are ready to understand the deeper emotional pattern beneath a recurring difficulty.</t>
        </is>
      </c>
      <c r="AB126" s="3" t="n"/>
      <c r="AC126" t="inlineStr">
        <is>
          <t>Protection</t>
        </is>
      </c>
      <c r="AD126" t="inlineStr">
        <is>
          <t>Heart Healing</t>
        </is>
      </c>
      <c r="AF126" t="inlineStr">
        <is>
          <t>["Protection","Healing","Insight"]</t>
        </is>
      </c>
      <c r="AK126" t="b">
        <v>0</v>
      </c>
      <c r="AL126" t="inlineStr">
        <is>
          <t>Unreviewed</t>
        </is>
      </c>
      <c r="AM126" t="inlineStr">
        <is>
          <t>Not Started</t>
        </is>
      </c>
      <c r="AN126" t="inlineStr">
        <is>
          <t>Not Started</t>
        </is>
      </c>
      <c r="AO126" t="inlineStr">
        <is>
          <t>Not Started</t>
        </is>
      </c>
      <c r="AP126" t="inlineStr">
        <is>
          <t>Not Started</t>
        </is>
      </c>
      <c r="AR126" t="inlineStr">
        <is>
          <t>v0.3-2026-06-29</t>
        </is>
      </c>
      <c r="AT126" s="3" t="n"/>
    </row>
    <row r="127">
      <c r="A127" t="inlineStr">
        <is>
          <t>C-0017</t>
        </is>
      </c>
      <c r="B127" t="inlineStr">
        <is>
          <t>Red Calcite</t>
        </is>
      </c>
      <c r="D127" t="inlineStr">
        <is>
          <t>Calcite</t>
        </is>
      </c>
      <c r="E127" t="inlineStr">
        <is>
          <t>Calcite</t>
        </is>
      </c>
      <c r="F127" t="n">
        <v>2</v>
      </c>
      <c r="G127" t="n">
        <v>13</v>
      </c>
      <c r="H127" t="n">
        <v>17</v>
      </c>
      <c r="I127" t="n">
        <v>17</v>
      </c>
      <c r="J127" t="inlineStr">
        <is>
          <t>Red Aventurine</t>
        </is>
      </c>
      <c r="K127" t="inlineStr">
        <is>
          <t>red-aventurine</t>
        </is>
      </c>
      <c r="L127" t="inlineStr">
        <is>
          <t>Red Jasper</t>
        </is>
      </c>
      <c r="M127" t="inlineStr">
        <is>
          <t>red-jasper</t>
        </is>
      </c>
      <c r="N127" t="b">
        <v>0</v>
      </c>
      <c r="O127" t="inlineStr">
        <is>
          <t>red-calcite</t>
        </is>
      </c>
      <c r="P127" t="inlineStr">
        <is>
          <t>Not Started</t>
        </is>
      </c>
      <c r="Q127" t="inlineStr">
        <is>
          <t>Root</t>
        </is>
      </c>
      <c r="R127" t="inlineStr">
        <is>
          <t>Sacral</t>
        </is>
      </c>
      <c r="S127" t="inlineStr">
        <is>
          <t>Root</t>
        </is>
      </c>
      <c r="X127" t="inlineStr">
        <is>
          <t>Mineral</t>
        </is>
      </c>
      <c r="Z127" s="3" t="inlineStr">
        <is>
          <t>Renewed vitality</t>
        </is>
      </c>
      <c r="AA127" s="3" t="inlineStr">
        <is>
          <t>Use when you feel depleted or hesitant and need a gradual return to movement rather than a sudden push.</t>
        </is>
      </c>
      <c r="AB127" s="3" t="n"/>
      <c r="AC127" t="inlineStr">
        <is>
          <t>Vitality</t>
        </is>
      </c>
      <c r="AD127" t="inlineStr">
        <is>
          <t>Grounding</t>
        </is>
      </c>
      <c r="AE127" t="inlineStr">
        <is>
          <t>Confidence</t>
        </is>
      </c>
      <c r="AF127" t="inlineStr">
        <is>
          <t>["Vitality","Motivation","Courage"]</t>
        </is>
      </c>
      <c r="AK127" t="b">
        <v>0</v>
      </c>
      <c r="AL127" t="inlineStr">
        <is>
          <t>Unreviewed</t>
        </is>
      </c>
      <c r="AM127" t="inlineStr">
        <is>
          <t>Not Started</t>
        </is>
      </c>
      <c r="AN127" t="inlineStr">
        <is>
          <t>Not Started</t>
        </is>
      </c>
      <c r="AO127" t="inlineStr">
        <is>
          <t>Not Started</t>
        </is>
      </c>
      <c r="AP127" t="inlineStr">
        <is>
          <t>Not Started</t>
        </is>
      </c>
      <c r="AR127" t="inlineStr">
        <is>
          <t>v0.3-2026-06-29</t>
        </is>
      </c>
      <c r="AT127" s="3" t="n"/>
    </row>
    <row r="128">
      <c r="A128" t="inlineStr">
        <is>
          <t>C-0169</t>
        </is>
      </c>
      <c r="B128" t="inlineStr">
        <is>
          <t>Red Tiger's Eye</t>
        </is>
      </c>
      <c r="D128" t="inlineStr">
        <is>
          <t>Tiger's Eye</t>
        </is>
      </c>
      <c r="E128" t="inlineStr">
        <is>
          <t>Tiger's Eye</t>
        </is>
      </c>
      <c r="F128" t="n">
        <v>2</v>
      </c>
      <c r="G128" t="n">
        <v>13</v>
      </c>
      <c r="H128" t="n">
        <v>169</v>
      </c>
      <c r="I128" t="n">
        <v>169</v>
      </c>
      <c r="J128" t="inlineStr">
        <is>
          <t>Red Jasper</t>
        </is>
      </c>
      <c r="K128" t="inlineStr">
        <is>
          <t>red-jasper</t>
        </is>
      </c>
      <c r="L128" t="inlineStr">
        <is>
          <t>Rhodochrosite</t>
        </is>
      </c>
      <c r="M128" t="inlineStr">
        <is>
          <t>rhodochrosite</t>
        </is>
      </c>
      <c r="N128" t="b">
        <v>0</v>
      </c>
      <c r="O128" t="inlineStr">
        <is>
          <t>red-tiger-s-eye</t>
        </is>
      </c>
      <c r="P128" t="inlineStr">
        <is>
          <t>Not Started</t>
        </is>
      </c>
      <c r="Q128" t="inlineStr">
        <is>
          <t>Root</t>
        </is>
      </c>
      <c r="S128" t="inlineStr">
        <is>
          <t>Root</t>
        </is>
      </c>
      <c r="X128" t="inlineStr">
        <is>
          <t>Mineral variety</t>
        </is>
      </c>
      <c r="Z128" s="3" t="inlineStr">
        <is>
          <t>Decisive action</t>
        </is>
      </c>
      <c r="AA128" s="3" t="inlineStr">
        <is>
          <t>Use when hesitation has lasted long enough and the next practical move is already clear.</t>
        </is>
      </c>
      <c r="AB128" s="3" t="n"/>
      <c r="AC128" t="inlineStr">
        <is>
          <t>Confidence</t>
        </is>
      </c>
      <c r="AD128" t="inlineStr">
        <is>
          <t>Vitality</t>
        </is>
      </c>
      <c r="AF128" t="inlineStr">
        <is>
          <t>["Confidence","Motivation","Vitality"]</t>
        </is>
      </c>
      <c r="AK128" t="b">
        <v>0</v>
      </c>
      <c r="AL128" t="inlineStr">
        <is>
          <t>Unreviewed</t>
        </is>
      </c>
      <c r="AM128" t="inlineStr">
        <is>
          <t>Not Started</t>
        </is>
      </c>
      <c r="AN128" t="inlineStr">
        <is>
          <t>Not Started</t>
        </is>
      </c>
      <c r="AO128" t="inlineStr">
        <is>
          <t>Not Started</t>
        </is>
      </c>
      <c r="AP128" t="inlineStr">
        <is>
          <t>Not Started</t>
        </is>
      </c>
      <c r="AR128" t="inlineStr">
        <is>
          <t>v0.3-2026-06-29</t>
        </is>
      </c>
      <c r="AT128" s="3" t="n"/>
    </row>
    <row r="129">
      <c r="A129" t="inlineStr">
        <is>
          <t>C-0213</t>
        </is>
      </c>
      <c r="B129" t="inlineStr">
        <is>
          <t>Rhodochrosite</t>
        </is>
      </c>
      <c r="D129" t="inlineStr">
        <is>
          <t>Carbonates</t>
        </is>
      </c>
      <c r="E129" t="inlineStr">
        <is>
          <t>Rhodochrosite</t>
        </is>
      </c>
      <c r="F129" t="n">
        <v>2</v>
      </c>
      <c r="G129" t="n">
        <v>14</v>
      </c>
      <c r="H129" t="n">
        <v>213</v>
      </c>
      <c r="I129" t="n">
        <v>213</v>
      </c>
      <c r="J129" t="inlineStr">
        <is>
          <t>Red Tiger's Eye</t>
        </is>
      </c>
      <c r="K129" t="inlineStr">
        <is>
          <t>red-tiger-s-eye</t>
        </is>
      </c>
      <c r="L129" t="inlineStr">
        <is>
          <t>Rhodonite</t>
        </is>
      </c>
      <c r="M129" t="inlineStr">
        <is>
          <t>rhodonite</t>
        </is>
      </c>
      <c r="N129" t="b">
        <v>0</v>
      </c>
      <c r="O129" t="inlineStr">
        <is>
          <t>rhodochrosite</t>
        </is>
      </c>
      <c r="P129" t="inlineStr">
        <is>
          <t>Not Started</t>
        </is>
      </c>
      <c r="Q129" t="inlineStr">
        <is>
          <t>Heart</t>
        </is>
      </c>
      <c r="R129" t="inlineStr">
        <is>
          <t>Solar Plexus</t>
        </is>
      </c>
      <c r="S129" t="inlineStr">
        <is>
          <t>Heart</t>
        </is>
      </c>
      <c r="X129" t="inlineStr">
        <is>
          <t>Mineral</t>
        </is>
      </c>
      <c r="Z129" s="3" t="inlineStr">
        <is>
          <t>Reclaimed joy</t>
        </is>
      </c>
      <c r="AA129" s="3" t="inlineStr">
        <is>
          <t>Use when you are ready to reconnect with joy but part of you still believes happiness is unsafe, selfish, or temporary.</t>
        </is>
      </c>
      <c r="AB129" s="3" t="n"/>
      <c r="AC129" t="inlineStr">
        <is>
          <t>Heart Healing</t>
        </is>
      </c>
      <c r="AD129" t="inlineStr">
        <is>
          <t>Self-Love</t>
        </is>
      </c>
      <c r="AF129" t="inlineStr">
        <is>
          <t>["Love","Joy","Healing"]</t>
        </is>
      </c>
      <c r="AK129" t="b">
        <v>0</v>
      </c>
      <c r="AL129" t="inlineStr">
        <is>
          <t>Unreviewed</t>
        </is>
      </c>
      <c r="AM129" t="inlineStr">
        <is>
          <t>Not Started</t>
        </is>
      </c>
      <c r="AN129" t="inlineStr">
        <is>
          <t>Not Started</t>
        </is>
      </c>
      <c r="AO129" t="inlineStr">
        <is>
          <t>Not Started</t>
        </is>
      </c>
      <c r="AP129" t="inlineStr">
        <is>
          <t>Not Started</t>
        </is>
      </c>
      <c r="AR129" t="inlineStr">
        <is>
          <t>v0.3-2026-06-29</t>
        </is>
      </c>
      <c r="AT129" s="3" t="n"/>
    </row>
    <row r="130">
      <c r="A130" t="inlineStr">
        <is>
          <t>C-0214</t>
        </is>
      </c>
      <c r="B130" t="inlineStr">
        <is>
          <t>Rhodonite</t>
        </is>
      </c>
      <c r="D130" t="inlineStr">
        <is>
          <t>Silicates</t>
        </is>
      </c>
      <c r="E130" t="inlineStr">
        <is>
          <t>Rhodonite</t>
        </is>
      </c>
      <c r="F130" t="n">
        <v>2</v>
      </c>
      <c r="G130" t="n">
        <v>14</v>
      </c>
      <c r="H130" t="n">
        <v>214</v>
      </c>
      <c r="I130" t="n">
        <v>214</v>
      </c>
      <c r="J130" t="inlineStr">
        <is>
          <t>Rhodochrosite</t>
        </is>
      </c>
      <c r="K130" t="inlineStr">
        <is>
          <t>rhodochrosite</t>
        </is>
      </c>
      <c r="L130" t="inlineStr">
        <is>
          <t>Rhyolite</t>
        </is>
      </c>
      <c r="M130" t="inlineStr">
        <is>
          <t>rhyolite</t>
        </is>
      </c>
      <c r="N130" t="b">
        <v>0</v>
      </c>
      <c r="O130" t="inlineStr">
        <is>
          <t>rhodonite</t>
        </is>
      </c>
      <c r="P130" t="inlineStr">
        <is>
          <t>Not Started</t>
        </is>
      </c>
      <c r="Q130" t="inlineStr">
        <is>
          <t>Heart</t>
        </is>
      </c>
      <c r="R130" t="inlineStr">
        <is>
          <t>Root</t>
        </is>
      </c>
      <c r="S130" t="inlineStr">
        <is>
          <t>Heart</t>
        </is>
      </c>
      <c r="X130" t="inlineStr">
        <is>
          <t>Mineral</t>
        </is>
      </c>
      <c r="Z130" s="3" t="inlineStr">
        <is>
          <t>Compassionate boundaries</t>
        </is>
      </c>
      <c r="AA130" s="3" t="inlineStr">
        <is>
          <t>Use when you want to forgive or move forward without reopening access to the behavior that caused harm.</t>
        </is>
      </c>
      <c r="AB130" s="3" t="n"/>
      <c r="AC130" t="inlineStr">
        <is>
          <t>Grounding</t>
        </is>
      </c>
      <c r="AD130" t="inlineStr">
        <is>
          <t>Vitality</t>
        </is>
      </c>
      <c r="AF130" t="inlineStr">
        <is>
          <t>["Healing","Compassion","Boundaries"]</t>
        </is>
      </c>
      <c r="AK130" t="b">
        <v>0</v>
      </c>
      <c r="AL130" t="inlineStr">
        <is>
          <t>Unreviewed</t>
        </is>
      </c>
      <c r="AM130" t="inlineStr">
        <is>
          <t>Not Started</t>
        </is>
      </c>
      <c r="AN130" t="inlineStr">
        <is>
          <t>Not Started</t>
        </is>
      </c>
      <c r="AO130" t="inlineStr">
        <is>
          <t>Not Started</t>
        </is>
      </c>
      <c r="AP130" t="inlineStr">
        <is>
          <t>Not Started</t>
        </is>
      </c>
      <c r="AR130" t="inlineStr">
        <is>
          <t>v0.3-2026-06-29</t>
        </is>
      </c>
      <c r="AT130" s="3" t="n"/>
    </row>
    <row r="131">
      <c r="A131" t="inlineStr">
        <is>
          <t>C-0264</t>
        </is>
      </c>
      <c r="B131" t="inlineStr">
        <is>
          <t>Rhyolite</t>
        </is>
      </c>
      <c r="C131" t="inlineStr">
        <is>
          <t>Rainforest Jasper</t>
        </is>
      </c>
      <c r="D131" t="inlineStr">
        <is>
          <t>Aggregate</t>
        </is>
      </c>
      <c r="E131" t="inlineStr">
        <is>
          <t>Rhyolite</t>
        </is>
      </c>
      <c r="F131" t="n">
        <v>2</v>
      </c>
      <c r="G131" t="n">
        <v>14</v>
      </c>
      <c r="H131" t="n">
        <v>264</v>
      </c>
      <c r="I131" t="n">
        <v>264</v>
      </c>
      <c r="J131" t="inlineStr">
        <is>
          <t>Rhodonite</t>
        </is>
      </c>
      <c r="K131" t="inlineStr">
        <is>
          <t>rhodonite</t>
        </is>
      </c>
      <c r="L131" t="inlineStr">
        <is>
          <t>Rose Quartz</t>
        </is>
      </c>
      <c r="M131" t="inlineStr">
        <is>
          <t>rose-quartz</t>
        </is>
      </c>
      <c r="N131" t="b">
        <v>0</v>
      </c>
      <c r="O131" t="inlineStr">
        <is>
          <t>rhyolite</t>
        </is>
      </c>
      <c r="P131" t="inlineStr">
        <is>
          <t>Not Started</t>
        </is>
      </c>
      <c r="Q131" t="inlineStr">
        <is>
          <t>Heart</t>
        </is>
      </c>
      <c r="R131" t="inlineStr">
        <is>
          <t>Sacral</t>
        </is>
      </c>
      <c r="S131" t="inlineStr">
        <is>
          <t>Heart</t>
        </is>
      </c>
      <c r="X131" t="inlineStr">
        <is>
          <t>Rock</t>
        </is>
      </c>
      <c r="Z131" s="3" t="inlineStr">
        <is>
          <t>Healthy adaptation</t>
        </is>
      </c>
      <c r="AA131" s="3" t="inlineStr">
        <is>
          <t>Use when circumstances require you to change but you do not want growth to feel like self-erasure.</t>
        </is>
      </c>
      <c r="AB131" s="3" t="n"/>
      <c r="AC131" t="inlineStr">
        <is>
          <t>Transformation</t>
        </is>
      </c>
      <c r="AD131" t="inlineStr">
        <is>
          <t>Clarity &amp; Focus</t>
        </is>
      </c>
      <c r="AF131" t="inlineStr">
        <is>
          <t>["Adaptability","Transformation","Creativity"]</t>
        </is>
      </c>
      <c r="AK131" t="b">
        <v>0</v>
      </c>
      <c r="AL131" t="inlineStr">
        <is>
          <t>Unreviewed</t>
        </is>
      </c>
      <c r="AM131" t="inlineStr">
        <is>
          <t>Not Started</t>
        </is>
      </c>
      <c r="AN131" t="inlineStr">
        <is>
          <t>Not Started</t>
        </is>
      </c>
      <c r="AO131" t="inlineStr">
        <is>
          <t>Not Started</t>
        </is>
      </c>
      <c r="AP131" t="inlineStr">
        <is>
          <t>Not Started</t>
        </is>
      </c>
      <c r="AR131" t="inlineStr">
        <is>
          <t>v0.3-2026-06-29</t>
        </is>
      </c>
      <c r="AT131" s="3" t="n"/>
    </row>
    <row r="132">
      <c r="A132" t="inlineStr">
        <is>
          <t>C-0038</t>
        </is>
      </c>
      <c r="B132" t="inlineStr">
        <is>
          <t>Ruby</t>
        </is>
      </c>
      <c r="D132" t="inlineStr">
        <is>
          <t>Corundum</t>
        </is>
      </c>
      <c r="E132" t="inlineStr">
        <is>
          <t>Corundum</t>
        </is>
      </c>
      <c r="F132" t="n">
        <v>2</v>
      </c>
      <c r="G132" t="n">
        <v>14</v>
      </c>
      <c r="H132" t="n">
        <v>38</v>
      </c>
      <c r="I132" t="n">
        <v>38</v>
      </c>
      <c r="J132" t="inlineStr">
        <is>
          <t>Rose Quartz</t>
        </is>
      </c>
      <c r="K132" t="inlineStr">
        <is>
          <t>rose-quartz</t>
        </is>
      </c>
      <c r="L132" t="inlineStr">
        <is>
          <t>Ruby Fuchsite</t>
        </is>
      </c>
      <c r="M132" t="inlineStr">
        <is>
          <t>ruby-fuchsite</t>
        </is>
      </c>
      <c r="N132" t="b">
        <v>0</v>
      </c>
      <c r="O132" t="inlineStr">
        <is>
          <t>ruby</t>
        </is>
      </c>
      <c r="P132" t="inlineStr">
        <is>
          <t>Not Started</t>
        </is>
      </c>
      <c r="Q132" t="inlineStr">
        <is>
          <t>Root</t>
        </is>
      </c>
      <c r="S132" t="inlineStr">
        <is>
          <t>Root</t>
        </is>
      </c>
      <c r="X132" t="inlineStr">
        <is>
          <t>Mineral</t>
        </is>
      </c>
      <c r="Z132" s="3" t="inlineStr">
        <is>
          <t>Wholehearted courage</t>
        </is>
      </c>
      <c r="AA132" s="3" t="inlineStr">
        <is>
          <t>Use when you need to stop approaching something important with only half of your energy or conviction.</t>
        </is>
      </c>
      <c r="AB132" s="3" t="n"/>
      <c r="AC132" t="inlineStr">
        <is>
          <t>Confidence</t>
        </is>
      </c>
      <c r="AD132" t="inlineStr">
        <is>
          <t>Vitality</t>
        </is>
      </c>
      <c r="AF132" t="inlineStr">
        <is>
          <t>["Vitality","Courage","Devotion"]</t>
        </is>
      </c>
      <c r="AK132" t="b">
        <v>0</v>
      </c>
      <c r="AL132" t="inlineStr">
        <is>
          <t>Unreviewed</t>
        </is>
      </c>
      <c r="AM132" t="inlineStr">
        <is>
          <t>Not Started</t>
        </is>
      </c>
      <c r="AN132" t="inlineStr">
        <is>
          <t>Not Started</t>
        </is>
      </c>
      <c r="AO132" t="inlineStr">
        <is>
          <t>Not Started</t>
        </is>
      </c>
      <c r="AP132" t="inlineStr">
        <is>
          <t>Not Started</t>
        </is>
      </c>
      <c r="AR132" t="inlineStr">
        <is>
          <t>v0.3-2026-06-29</t>
        </is>
      </c>
      <c r="AT132" s="3" t="n"/>
    </row>
    <row r="133">
      <c r="A133" t="inlineStr">
        <is>
          <t>C-0195</t>
        </is>
      </c>
      <c r="B133" t="inlineStr">
        <is>
          <t>Ruby Fuchsite</t>
        </is>
      </c>
      <c r="C133" t="inlineStr">
        <is>
          <t>Fuchsite Ruby</t>
        </is>
      </c>
      <c r="D133" t="inlineStr">
        <is>
          <t>Aggregate</t>
        </is>
      </c>
      <c r="E133" t="inlineStr">
        <is>
          <t>Corundum; Fuchsite</t>
        </is>
      </c>
      <c r="F133" t="n">
        <v>2</v>
      </c>
      <c r="G133" t="n">
        <v>14</v>
      </c>
      <c r="H133" t="n">
        <v>195</v>
      </c>
      <c r="I133" t="n">
        <v>195</v>
      </c>
      <c r="J133" t="inlineStr">
        <is>
          <t>Ruby</t>
        </is>
      </c>
      <c r="K133" t="inlineStr">
        <is>
          <t>ruby</t>
        </is>
      </c>
      <c r="L133" t="inlineStr">
        <is>
          <t>Ruby in Kyanite</t>
        </is>
      </c>
      <c r="M133" t="inlineStr">
        <is>
          <t>ruby-in-kyanite</t>
        </is>
      </c>
      <c r="N133" t="b">
        <v>0</v>
      </c>
      <c r="O133" t="inlineStr">
        <is>
          <t>ruby-fuchsite</t>
        </is>
      </c>
      <c r="P133" t="inlineStr">
        <is>
          <t>Not Started</t>
        </is>
      </c>
      <c r="Q133" t="inlineStr">
        <is>
          <t>Heart</t>
        </is>
      </c>
      <c r="R133" t="inlineStr">
        <is>
          <t>Root</t>
        </is>
      </c>
      <c r="S133" t="inlineStr">
        <is>
          <t>Heart</t>
        </is>
      </c>
      <c r="X133" t="inlineStr">
        <is>
          <t>Rock</t>
        </is>
      </c>
      <c r="Z133" s="3" t="inlineStr">
        <is>
          <t>Heart-centered vitality</t>
        </is>
      </c>
      <c r="AA133" s="3" t="inlineStr">
        <is>
          <t>Use when emotional work has left you tired and you need to reconnect healing with strength rather than depletion.</t>
        </is>
      </c>
      <c r="AB133" s="3" t="n"/>
      <c r="AC133" t="inlineStr">
        <is>
          <t>Confidence</t>
        </is>
      </c>
      <c r="AF133" t="inlineStr">
        <is>
          <t>["Healing","Worth","Vitality"]</t>
        </is>
      </c>
      <c r="AK133" t="b">
        <v>0</v>
      </c>
      <c r="AL133" t="inlineStr">
        <is>
          <t>Unreviewed</t>
        </is>
      </c>
      <c r="AM133" t="inlineStr">
        <is>
          <t>Not Started</t>
        </is>
      </c>
      <c r="AN133" t="inlineStr">
        <is>
          <t>Not Started</t>
        </is>
      </c>
      <c r="AO133" t="inlineStr">
        <is>
          <t>Not Started</t>
        </is>
      </c>
      <c r="AP133" t="inlineStr">
        <is>
          <t>Not Started</t>
        </is>
      </c>
      <c r="AR133" t="inlineStr">
        <is>
          <t>v0.3-2026-06-29</t>
        </is>
      </c>
      <c r="AT133" s="3" t="n"/>
    </row>
    <row r="134">
      <c r="A134" t="inlineStr">
        <is>
          <t>C-0196</t>
        </is>
      </c>
      <c r="B134" t="inlineStr">
        <is>
          <t>Ruby Zoisite</t>
        </is>
      </c>
      <c r="C134" t="inlineStr">
        <is>
          <t>Anyolite</t>
        </is>
      </c>
      <c r="D134" t="inlineStr">
        <is>
          <t>Aggregate</t>
        </is>
      </c>
      <c r="E134" t="inlineStr">
        <is>
          <t>Corundum; Zoisite</t>
        </is>
      </c>
      <c r="F134" t="n">
        <v>2</v>
      </c>
      <c r="G134" t="n">
        <v>14</v>
      </c>
      <c r="H134" t="n">
        <v>196</v>
      </c>
      <c r="I134" t="n">
        <v>196</v>
      </c>
      <c r="J134" t="inlineStr">
        <is>
          <t>Ruby in Kyanite</t>
        </is>
      </c>
      <c r="K134" t="inlineStr">
        <is>
          <t>ruby-in-kyanite</t>
        </is>
      </c>
      <c r="L134" t="inlineStr">
        <is>
          <t>Rutilated Quartz</t>
        </is>
      </c>
      <c r="M134" t="inlineStr">
        <is>
          <t>rutilated-quartz</t>
        </is>
      </c>
      <c r="N134" t="b">
        <v>0</v>
      </c>
      <c r="O134" t="inlineStr">
        <is>
          <t>ruby-zoisite</t>
        </is>
      </c>
      <c r="P134" t="inlineStr">
        <is>
          <t>Not Started</t>
        </is>
      </c>
      <c r="Q134" t="inlineStr">
        <is>
          <t>Heart</t>
        </is>
      </c>
      <c r="R134" t="inlineStr">
        <is>
          <t>Root</t>
        </is>
      </c>
      <c r="S134" t="inlineStr">
        <is>
          <t>Heart</t>
        </is>
      </c>
      <c r="X134" t="inlineStr">
        <is>
          <t>Rock</t>
        </is>
      </c>
      <c r="Z134" s="3" t="inlineStr">
        <is>
          <t>Purposeful growth</t>
        </is>
      </c>
      <c r="AA134" s="3" t="inlineStr">
        <is>
          <t>Use when you know you are capable of more but need courage to let that potential become visible through action.</t>
        </is>
      </c>
      <c r="AB134" s="3" t="n"/>
      <c r="AC134" t="inlineStr">
        <is>
          <t>Protection</t>
        </is>
      </c>
      <c r="AD134" t="inlineStr">
        <is>
          <t>Vitality</t>
        </is>
      </c>
      <c r="AF134" t="inlineStr">
        <is>
          <t>["Growth","Courage","Vitality"]</t>
        </is>
      </c>
      <c r="AK134" t="b">
        <v>0</v>
      </c>
      <c r="AL134" t="inlineStr">
        <is>
          <t>Unreviewed</t>
        </is>
      </c>
      <c r="AM134" t="inlineStr">
        <is>
          <t>Not Started</t>
        </is>
      </c>
      <c r="AN134" t="inlineStr">
        <is>
          <t>Not Started</t>
        </is>
      </c>
      <c r="AO134" t="inlineStr">
        <is>
          <t>Not Started</t>
        </is>
      </c>
      <c r="AP134" t="inlineStr">
        <is>
          <t>Not Started</t>
        </is>
      </c>
      <c r="AR134" t="inlineStr">
        <is>
          <t>v0.3-2026-06-29</t>
        </is>
      </c>
      <c r="AT134" s="3" t="n"/>
    </row>
    <row r="135">
      <c r="A135" t="inlineStr">
        <is>
          <t>C-0114</t>
        </is>
      </c>
      <c r="B135" t="inlineStr">
        <is>
          <t>Rutilated Quartz</t>
        </is>
      </c>
      <c r="D135" t="inlineStr">
        <is>
          <t>Quartz</t>
        </is>
      </c>
      <c r="E135" t="inlineStr">
        <is>
          <t>Quartz</t>
        </is>
      </c>
      <c r="F135" t="n">
        <v>2</v>
      </c>
      <c r="G135" t="n">
        <v>14</v>
      </c>
      <c r="H135" t="n">
        <v>114</v>
      </c>
      <c r="I135" t="n">
        <v>114</v>
      </c>
      <c r="J135" t="inlineStr">
        <is>
          <t>Ruby Zoisite</t>
        </is>
      </c>
      <c r="K135" t="inlineStr">
        <is>
          <t>ruby-zoisite</t>
        </is>
      </c>
      <c r="L135" t="inlineStr">
        <is>
          <t>Rutile</t>
        </is>
      </c>
      <c r="M135" t="inlineStr">
        <is>
          <t>rutile</t>
        </is>
      </c>
      <c r="N135" t="b">
        <v>0</v>
      </c>
      <c r="O135" t="inlineStr">
        <is>
          <t>rutilated-quartz</t>
        </is>
      </c>
      <c r="P135" t="inlineStr">
        <is>
          <t>Not Started</t>
        </is>
      </c>
      <c r="Q135" t="inlineStr">
        <is>
          <t>Solar Plexus</t>
        </is>
      </c>
      <c r="R135" t="inlineStr">
        <is>
          <t>Heart</t>
        </is>
      </c>
      <c r="S135" t="inlineStr">
        <is>
          <t>Solar Plexus</t>
        </is>
      </c>
      <c r="X135" t="inlineStr">
        <is>
          <t>Mineral</t>
        </is>
      </c>
      <c r="Z135" s="3" t="inlineStr">
        <is>
          <t>Purposeful momentum</t>
        </is>
      </c>
      <c r="AA135" s="3" t="inlineStr">
        <is>
          <t>Use when you have energy and ideas but need a clearer direction for where to place them.</t>
        </is>
      </c>
      <c r="AB135" s="3" t="n"/>
      <c r="AC135" t="inlineStr">
        <is>
          <t>Amplification</t>
        </is>
      </c>
      <c r="AD135" t="inlineStr">
        <is>
          <t>Manifestation</t>
        </is>
      </c>
      <c r="AE135" t="inlineStr">
        <is>
          <t>Spiritual Connection</t>
        </is>
      </c>
      <c r="AF135" t="inlineStr">
        <is>
          <t>["Amplification","Focus","Motivation"]</t>
        </is>
      </c>
      <c r="AK135" t="b">
        <v>0</v>
      </c>
      <c r="AL135" t="inlineStr">
        <is>
          <t>Unreviewed</t>
        </is>
      </c>
      <c r="AM135" t="inlineStr">
        <is>
          <t>Not Started</t>
        </is>
      </c>
      <c r="AN135" t="inlineStr">
        <is>
          <t>Not Started</t>
        </is>
      </c>
      <c r="AO135" t="inlineStr">
        <is>
          <t>Not Started</t>
        </is>
      </c>
      <c r="AP135" t="inlineStr">
        <is>
          <t>Not Started</t>
        </is>
      </c>
      <c r="AR135" t="inlineStr">
        <is>
          <t>v0.3-2026-06-29</t>
        </is>
      </c>
      <c r="AT135" s="3" t="n"/>
    </row>
    <row r="136">
      <c r="A136" t="inlineStr">
        <is>
          <t>C-0216</t>
        </is>
      </c>
      <c r="B136" t="inlineStr">
        <is>
          <t>Scolecite</t>
        </is>
      </c>
      <c r="D136" t="inlineStr">
        <is>
          <t>Silicates</t>
        </is>
      </c>
      <c r="E136" t="inlineStr">
        <is>
          <t>Scolecite</t>
        </is>
      </c>
      <c r="F136" t="n">
        <v>2</v>
      </c>
      <c r="G136" t="n">
        <v>14</v>
      </c>
      <c r="H136" t="n">
        <v>216</v>
      </c>
      <c r="I136" t="n">
        <v>216</v>
      </c>
      <c r="J136" t="inlineStr">
        <is>
          <t>Scheelite</t>
        </is>
      </c>
      <c r="K136" t="inlineStr">
        <is>
          <t>scheelite</t>
        </is>
      </c>
      <c r="L136" t="inlineStr">
        <is>
          <t>Selenite</t>
        </is>
      </c>
      <c r="M136" t="inlineStr">
        <is>
          <t>selenite</t>
        </is>
      </c>
      <c r="N136" t="b">
        <v>0</v>
      </c>
      <c r="O136" t="inlineStr">
        <is>
          <t>scolecite</t>
        </is>
      </c>
      <c r="P136" t="inlineStr">
        <is>
          <t>Not Started</t>
        </is>
      </c>
      <c r="Q136" t="inlineStr">
        <is>
          <t>Crown</t>
        </is>
      </c>
      <c r="R136" t="inlineStr">
        <is>
          <t>Soul Star</t>
        </is>
      </c>
      <c r="S136" t="inlineStr">
        <is>
          <t>Crown</t>
        </is>
      </c>
      <c r="X136" t="inlineStr">
        <is>
          <t>Mineral</t>
        </is>
      </c>
      <c r="Z136" s="3" t="inlineStr">
        <is>
          <t>Meditative receptivity</t>
        </is>
      </c>
      <c r="AA136" s="3" t="inlineStr">
        <is>
          <t>Use when you want guidance but your effort to find an answer has become louder than your ability to receive one.</t>
        </is>
      </c>
      <c r="AB136" s="3" t="n"/>
      <c r="AC136" t="inlineStr">
        <is>
          <t>Calm &amp; Peace</t>
        </is>
      </c>
      <c r="AD136" t="inlineStr">
        <is>
          <t>Spiritual Connection</t>
        </is>
      </c>
      <c r="AF136" t="inlineStr">
        <is>
          <t>["Peace","Meditation","Intuition"]</t>
        </is>
      </c>
      <c r="AK136" t="b">
        <v>0</v>
      </c>
      <c r="AL136" t="inlineStr">
        <is>
          <t>Unreviewed</t>
        </is>
      </c>
      <c r="AM136" t="inlineStr">
        <is>
          <t>Not Started</t>
        </is>
      </c>
      <c r="AN136" t="inlineStr">
        <is>
          <t>Not Started</t>
        </is>
      </c>
      <c r="AO136" t="inlineStr">
        <is>
          <t>Not Started</t>
        </is>
      </c>
      <c r="AP136" t="inlineStr">
        <is>
          <t>Not Started</t>
        </is>
      </c>
      <c r="AR136" t="inlineStr">
        <is>
          <t>v0.3-2026-06-29</t>
        </is>
      </c>
      <c r="AT136" s="3" t="n"/>
    </row>
    <row r="137">
      <c r="A137" t="inlineStr">
        <is>
          <t>C-0198</t>
        </is>
      </c>
      <c r="B137" t="inlineStr">
        <is>
          <t>Septarian</t>
        </is>
      </c>
      <c r="C137" t="inlineStr">
        <is>
          <t>Septarian Nodule</t>
        </is>
      </c>
      <c r="D137" t="inlineStr">
        <is>
          <t>Aggregate</t>
        </is>
      </c>
      <c r="E137" t="inlineStr">
        <is>
          <t>Calcite; Aragonite; Limestone</t>
        </is>
      </c>
      <c r="F137" t="n">
        <v>2</v>
      </c>
      <c r="G137" t="n">
        <v>15</v>
      </c>
      <c r="H137" t="n">
        <v>198</v>
      </c>
      <c r="I137" t="n">
        <v>198</v>
      </c>
      <c r="J137" t="inlineStr">
        <is>
          <t>Selenite</t>
        </is>
      </c>
      <c r="K137" t="inlineStr">
        <is>
          <t>selenite</t>
        </is>
      </c>
      <c r="L137" t="inlineStr">
        <is>
          <t>Seraphinite</t>
        </is>
      </c>
      <c r="M137" t="inlineStr">
        <is>
          <t>seraphinite</t>
        </is>
      </c>
      <c r="N137" t="b">
        <v>0</v>
      </c>
      <c r="O137" t="inlineStr">
        <is>
          <t>septarian</t>
        </is>
      </c>
      <c r="P137" t="inlineStr">
        <is>
          <t>Not Started</t>
        </is>
      </c>
      <c r="Q137" t="inlineStr">
        <is>
          <t>Root</t>
        </is>
      </c>
      <c r="S137" t="inlineStr">
        <is>
          <t>Root</t>
        </is>
      </c>
      <c r="X137" t="inlineStr">
        <is>
          <t>Rock</t>
        </is>
      </c>
      <c r="Z137" s="3" t="inlineStr">
        <is>
          <t>Inner structure</t>
        </is>
      </c>
      <c r="AA137" s="3" t="inlineStr">
        <is>
          <t>Use when life feels fragmented and you need to rebuild a sense of internal organization.</t>
        </is>
      </c>
      <c r="AB137" s="3" t="n"/>
      <c r="AC137" t="inlineStr">
        <is>
          <t>Grounding</t>
        </is>
      </c>
      <c r="AD137" t="inlineStr">
        <is>
          <t>Communication</t>
        </is>
      </c>
      <c r="AE137" t="inlineStr">
        <is>
          <t>Intuition</t>
        </is>
      </c>
      <c r="AF137" t="inlineStr">
        <is>
          <t>["Grounding","Stability","Communication"]</t>
        </is>
      </c>
      <c r="AK137" t="b">
        <v>0</v>
      </c>
      <c r="AL137" t="inlineStr">
        <is>
          <t>Unreviewed</t>
        </is>
      </c>
      <c r="AM137" t="inlineStr">
        <is>
          <t>Not Started</t>
        </is>
      </c>
      <c r="AN137" t="inlineStr">
        <is>
          <t>Not Started</t>
        </is>
      </c>
      <c r="AO137" t="inlineStr">
        <is>
          <t>Not Started</t>
        </is>
      </c>
      <c r="AP137" t="inlineStr">
        <is>
          <t>Not Started</t>
        </is>
      </c>
      <c r="AR137" t="inlineStr">
        <is>
          <t>v0.3-2026-06-29</t>
        </is>
      </c>
      <c r="AT137" s="3" t="n"/>
    </row>
    <row r="138">
      <c r="A138" t="inlineStr">
        <is>
          <t>C-0051</t>
        </is>
      </c>
      <c r="B138" t="inlineStr">
        <is>
          <t>Serpentine</t>
        </is>
      </c>
      <c r="D138" t="inlineStr">
        <is>
          <t>Serpentine</t>
        </is>
      </c>
      <c r="E138" t="inlineStr">
        <is>
          <t>Lizardite</t>
        </is>
      </c>
      <c r="F138" t="n">
        <v>2</v>
      </c>
      <c r="G138" t="n">
        <v>15</v>
      </c>
      <c r="H138" t="n">
        <v>51</v>
      </c>
      <c r="I138" t="n">
        <v>51</v>
      </c>
      <c r="J138" t="inlineStr">
        <is>
          <t>Seraphinite</t>
        </is>
      </c>
      <c r="K138" t="inlineStr">
        <is>
          <t>seraphinite</t>
        </is>
      </c>
      <c r="L138" t="inlineStr">
        <is>
          <t>Shaman Stone</t>
        </is>
      </c>
      <c r="M138" t="inlineStr">
        <is>
          <t>shaman-stone</t>
        </is>
      </c>
      <c r="N138" t="b">
        <v>0</v>
      </c>
      <c r="O138" t="inlineStr">
        <is>
          <t>serpentine</t>
        </is>
      </c>
      <c r="P138" t="inlineStr">
        <is>
          <t>Not Started</t>
        </is>
      </c>
      <c r="Q138" t="inlineStr">
        <is>
          <t>Heart</t>
        </is>
      </c>
      <c r="S138" t="inlineStr">
        <is>
          <t>Heart</t>
        </is>
      </c>
      <c r="X138" t="inlineStr">
        <is>
          <t>Mineral</t>
        </is>
      </c>
      <c r="Z138" s="3" t="inlineStr">
        <is>
          <t>Instinctive renewal</t>
        </is>
      </c>
      <c r="AA138" s="3" t="inlineStr">
        <is>
          <t>Use when you feel disconnected from your body, surroundings, or natural sense of what supports you.</t>
        </is>
      </c>
      <c r="AB138" s="3" t="n"/>
      <c r="AC138" t="inlineStr">
        <is>
          <t>Transformation</t>
        </is>
      </c>
      <c r="AD138" t="inlineStr">
        <is>
          <t>Heart Healing</t>
        </is>
      </c>
      <c r="AF138" t="inlineStr">
        <is>
          <t>["Transformation","Awakening","Vitality"]</t>
        </is>
      </c>
      <c r="AK138" t="b">
        <v>0</v>
      </c>
      <c r="AL138" t="inlineStr">
        <is>
          <t>Unreviewed</t>
        </is>
      </c>
      <c r="AM138" t="inlineStr">
        <is>
          <t>Not Started</t>
        </is>
      </c>
      <c r="AN138" t="inlineStr">
        <is>
          <t>Not Started</t>
        </is>
      </c>
      <c r="AO138" t="inlineStr">
        <is>
          <t>Not Started</t>
        </is>
      </c>
      <c r="AP138" t="inlineStr">
        <is>
          <t>Not Started</t>
        </is>
      </c>
      <c r="AR138" t="inlineStr">
        <is>
          <t>v0.3-2026-06-29</t>
        </is>
      </c>
      <c r="AT138" s="3" t="n"/>
    </row>
    <row r="139">
      <c r="A139" t="inlineStr">
        <is>
          <t>C-0200</t>
        </is>
      </c>
      <c r="B139" t="inlineStr">
        <is>
          <t>Shiva Lingam</t>
        </is>
      </c>
      <c r="D139" t="inlineStr">
        <is>
          <t>Aggregate</t>
        </is>
      </c>
      <c r="E139" t="inlineStr">
        <is>
          <t>Chalcedony</t>
        </is>
      </c>
      <c r="F139" t="n">
        <v>2</v>
      </c>
      <c r="G139" t="n">
        <v>15</v>
      </c>
      <c r="H139" t="n">
        <v>200</v>
      </c>
      <c r="I139" t="n">
        <v>200</v>
      </c>
      <c r="J139" t="inlineStr">
        <is>
          <t>Shattuckite</t>
        </is>
      </c>
      <c r="K139" t="inlineStr">
        <is>
          <t>shattuckite</t>
        </is>
      </c>
      <c r="L139" t="inlineStr">
        <is>
          <t>Shungite</t>
        </is>
      </c>
      <c r="M139" t="inlineStr">
        <is>
          <t>shungite</t>
        </is>
      </c>
      <c r="N139" t="b">
        <v>0</v>
      </c>
      <c r="O139" t="inlineStr">
        <is>
          <t>shiva-lingam</t>
        </is>
      </c>
      <c r="P139" t="inlineStr">
        <is>
          <t>Not Started</t>
        </is>
      </c>
      <c r="Q139" t="inlineStr">
        <is>
          <t>Root</t>
        </is>
      </c>
      <c r="S139" t="inlineStr">
        <is>
          <t>Root</t>
        </is>
      </c>
      <c r="X139" t="inlineStr">
        <is>
          <t>Rock</t>
        </is>
      </c>
      <c r="Z139" s="3" t="inlineStr">
        <is>
          <t>Embodied balance</t>
        </is>
      </c>
      <c r="AA139" s="3" t="inlineStr">
        <is>
          <t>Use when you feel pulled between pushing forward and allowing events to unfold.</t>
        </is>
      </c>
      <c r="AB139" s="3" t="n"/>
      <c r="AC139" t="inlineStr">
        <is>
          <t>Grounding</t>
        </is>
      </c>
      <c r="AD139" t="inlineStr">
        <is>
          <t>Vitality</t>
        </is>
      </c>
      <c r="AE139" t="inlineStr">
        <is>
          <t>Spiritual Connection</t>
        </is>
      </c>
      <c r="AF139" t="inlineStr">
        <is>
          <t>["Balance","Embodiment","Vitality"]</t>
        </is>
      </c>
      <c r="AK139" t="b">
        <v>0</v>
      </c>
      <c r="AL139" t="inlineStr">
        <is>
          <t>Unreviewed</t>
        </is>
      </c>
      <c r="AM139" t="inlineStr">
        <is>
          <t>Not Started</t>
        </is>
      </c>
      <c r="AN139" t="inlineStr">
        <is>
          <t>Not Started</t>
        </is>
      </c>
      <c r="AO139" t="inlineStr">
        <is>
          <t>Not Started</t>
        </is>
      </c>
      <c r="AP139" t="inlineStr">
        <is>
          <t>Not Started</t>
        </is>
      </c>
      <c r="AR139" t="inlineStr">
        <is>
          <t>v0.3-2026-06-29</t>
        </is>
      </c>
      <c r="AT139" s="3" t="n"/>
    </row>
    <row r="140">
      <c r="A140" t="inlineStr">
        <is>
          <t>C-0201</t>
        </is>
      </c>
      <c r="B140" t="inlineStr">
        <is>
          <t>Shungite</t>
        </is>
      </c>
      <c r="D140" t="inlineStr">
        <is>
          <t>Organic Material</t>
        </is>
      </c>
      <c r="E140" t="inlineStr">
        <is>
          <t>Shungite</t>
        </is>
      </c>
      <c r="F140" t="n">
        <v>2</v>
      </c>
      <c r="G140" t="n">
        <v>15</v>
      </c>
      <c r="H140" t="n">
        <v>201</v>
      </c>
      <c r="I140" t="n">
        <v>201</v>
      </c>
      <c r="J140" t="inlineStr">
        <is>
          <t>Shiva Lingam</t>
        </is>
      </c>
      <c r="K140" t="inlineStr">
        <is>
          <t>shiva-lingam</t>
        </is>
      </c>
      <c r="L140" t="inlineStr">
        <is>
          <t>Silver Sheen Obsidian</t>
        </is>
      </c>
      <c r="M140" t="inlineStr">
        <is>
          <t>silver-sheen-obsidian</t>
        </is>
      </c>
      <c r="N140" t="b">
        <v>0</v>
      </c>
      <c r="O140" t="inlineStr">
        <is>
          <t>shungite</t>
        </is>
      </c>
      <c r="P140" t="inlineStr">
        <is>
          <t>Not Started</t>
        </is>
      </c>
      <c r="Q140" t="inlineStr">
        <is>
          <t>Root</t>
        </is>
      </c>
      <c r="S140" t="inlineStr">
        <is>
          <t>Root</t>
        </is>
      </c>
      <c r="X140" t="inlineStr">
        <is>
          <t>Organic material</t>
        </is>
      </c>
      <c r="Z140" s="3" t="inlineStr">
        <is>
          <t>Environmental grounding</t>
        </is>
      </c>
      <c r="AA140" s="3" t="inlineStr">
        <is>
          <t>Use when a space, device-heavy environment, or crowded setting leaves you feeling overstimulated and depleted.</t>
        </is>
      </c>
      <c r="AB140" s="3" t="n"/>
      <c r="AC140" t="inlineStr">
        <is>
          <t>Protection</t>
        </is>
      </c>
      <c r="AD140" t="inlineStr">
        <is>
          <t>Grounding</t>
        </is>
      </c>
      <c r="AF140" t="inlineStr">
        <is>
          <t>["Protection","Grounding","Purification"]</t>
        </is>
      </c>
      <c r="AK140" t="b">
        <v>0</v>
      </c>
      <c r="AL140" t="inlineStr">
        <is>
          <t>Unreviewed</t>
        </is>
      </c>
      <c r="AM140" t="inlineStr">
        <is>
          <t>Not Started</t>
        </is>
      </c>
      <c r="AN140" t="inlineStr">
        <is>
          <t>Not Started</t>
        </is>
      </c>
      <c r="AO140" t="inlineStr">
        <is>
          <t>Not Started</t>
        </is>
      </c>
      <c r="AP140" t="inlineStr">
        <is>
          <t>Not Started</t>
        </is>
      </c>
      <c r="AR140" t="inlineStr">
        <is>
          <t>v0.3-2026-06-29</t>
        </is>
      </c>
      <c r="AT140" s="3" t="n"/>
    </row>
    <row r="141">
      <c r="A141" t="inlineStr">
        <is>
          <t>C-9003</t>
        </is>
      </c>
      <c r="B141" t="inlineStr">
        <is>
          <t>Silver Sheen Obsidian</t>
        </is>
      </c>
      <c r="D141" t="inlineStr">
        <is>
          <t>Obsidian</t>
        </is>
      </c>
      <c r="E141" t="inlineStr">
        <is>
          <t>Obsidian</t>
        </is>
      </c>
      <c r="F141" t="n">
        <v>2</v>
      </c>
      <c r="G141" t="n">
        <v>15</v>
      </c>
      <c r="H141" t="n">
        <v>0</v>
      </c>
      <c r="I141" t="n">
        <v>0</v>
      </c>
      <c r="J141" t="inlineStr">
        <is>
          <t>Shungite</t>
        </is>
      </c>
      <c r="K141" t="inlineStr">
        <is>
          <t>shungite</t>
        </is>
      </c>
      <c r="L141" t="inlineStr">
        <is>
          <t>Smithsonite</t>
        </is>
      </c>
      <c r="M141" t="inlineStr">
        <is>
          <t>smithsonite</t>
        </is>
      </c>
      <c r="N141" t="b">
        <v>0</v>
      </c>
      <c r="O141" t="inlineStr">
        <is>
          <t>silver-sheen-obsidian</t>
        </is>
      </c>
      <c r="P141" t="inlineStr">
        <is>
          <t>Not Started</t>
        </is>
      </c>
      <c r="Q141" t="inlineStr">
        <is>
          <t>Third Eye</t>
        </is>
      </c>
      <c r="R141" t="inlineStr">
        <is>
          <t>Root</t>
        </is>
      </c>
      <c r="S141" t="inlineStr">
        <is>
          <t>Third Eye</t>
        </is>
      </c>
      <c r="X141" t="inlineStr">
        <is>
          <t>Mineraloid</t>
        </is>
      </c>
      <c r="Z141" s="3" t="inlineStr">
        <is>
          <t>Clear discernment</t>
        </is>
      </c>
      <c r="AA141" s="3" t="inlineStr">
        <is>
          <t>Use when you need to understand what is influencing your judgment before making an important choice.</t>
        </is>
      </c>
      <c r="AB141" s="3" t="n"/>
      <c r="AC141" t="inlineStr">
        <is>
          <t>Protection</t>
        </is>
      </c>
      <c r="AD141" t="inlineStr">
        <is>
          <t>Intuition</t>
        </is>
      </c>
      <c r="AE141" t="inlineStr">
        <is>
          <t>Clarity &amp; Focus</t>
        </is>
      </c>
      <c r="AF141" t="inlineStr">
        <is>
          <t>["Protection","Insight","Discernment"]</t>
        </is>
      </c>
      <c r="AK141" t="b">
        <v>0</v>
      </c>
      <c r="AL141" t="inlineStr">
        <is>
          <t>Unreviewed</t>
        </is>
      </c>
      <c r="AM141" t="inlineStr">
        <is>
          <t>Not Started</t>
        </is>
      </c>
      <c r="AN141" t="inlineStr">
        <is>
          <t>Not Started</t>
        </is>
      </c>
      <c r="AO141" t="inlineStr">
        <is>
          <t>Not Started</t>
        </is>
      </c>
      <c r="AP141" t="inlineStr">
        <is>
          <t>Not Started</t>
        </is>
      </c>
      <c r="AR141" t="inlineStr">
        <is>
          <t>v0.3-2026-06-29</t>
        </is>
      </c>
      <c r="AT141" s="3" t="n"/>
    </row>
    <row r="142">
      <c r="A142" t="inlineStr">
        <is>
          <t>C-0143</t>
        </is>
      </c>
      <c r="B142" t="inlineStr">
        <is>
          <t>Snowflake Obsidian</t>
        </is>
      </c>
      <c r="D142" t="inlineStr">
        <is>
          <t>Obsidian</t>
        </is>
      </c>
      <c r="E142" t="inlineStr">
        <is>
          <t>Obsidian</t>
        </is>
      </c>
      <c r="F142" t="n">
        <v>2</v>
      </c>
      <c r="G142" t="n">
        <v>15</v>
      </c>
      <c r="H142" t="n">
        <v>143</v>
      </c>
      <c r="I142" t="n">
        <v>143</v>
      </c>
      <c r="J142" t="inlineStr">
        <is>
          <t>Smoky Quartz</t>
        </is>
      </c>
      <c r="K142" t="inlineStr">
        <is>
          <t>smoky-quartz</t>
        </is>
      </c>
      <c r="L142" t="inlineStr">
        <is>
          <t>Sodalite</t>
        </is>
      </c>
      <c r="M142" t="inlineStr">
        <is>
          <t>sodalite</t>
        </is>
      </c>
      <c r="N142" t="b">
        <v>0</v>
      </c>
      <c r="O142" t="inlineStr">
        <is>
          <t>snowflake-obsidian</t>
        </is>
      </c>
      <c r="P142" t="inlineStr">
        <is>
          <t>Not Started</t>
        </is>
      </c>
      <c r="Q142" t="inlineStr">
        <is>
          <t>Root</t>
        </is>
      </c>
      <c r="R142" t="inlineStr">
        <is>
          <t>Third Eye</t>
        </is>
      </c>
      <c r="S142" t="inlineStr">
        <is>
          <t>Root</t>
        </is>
      </c>
      <c r="X142" t="inlineStr">
        <is>
          <t>Mineraloid</t>
        </is>
      </c>
      <c r="Z142" s="3" t="inlineStr">
        <is>
          <t>Pattern awareness</t>
        </is>
      </c>
      <c r="AA142" s="3" t="inlineStr">
        <is>
          <t>Use when you are beginning to recognize a pattern but need compassion and steadiness to change it.</t>
        </is>
      </c>
      <c r="AB142" s="3" t="n"/>
      <c r="AC142" t="inlineStr">
        <is>
          <t>Transformation</t>
        </is>
      </c>
      <c r="AD142" t="inlineStr">
        <is>
          <t>Calm &amp; Peace</t>
        </is>
      </c>
      <c r="AF142" t="inlineStr">
        <is>
          <t>["Grounding","Balance","Transformation"]</t>
        </is>
      </c>
      <c r="AK142" t="b">
        <v>0</v>
      </c>
      <c r="AL142" t="inlineStr">
        <is>
          <t>Unreviewed</t>
        </is>
      </c>
      <c r="AM142" t="inlineStr">
        <is>
          <t>Not Started</t>
        </is>
      </c>
      <c r="AN142" t="inlineStr">
        <is>
          <t>Not Started</t>
        </is>
      </c>
      <c r="AO142" t="inlineStr">
        <is>
          <t>Not Started</t>
        </is>
      </c>
      <c r="AP142" t="inlineStr">
        <is>
          <t>Not Started</t>
        </is>
      </c>
      <c r="AR142" t="inlineStr">
        <is>
          <t>v0.3-2026-06-29</t>
        </is>
      </c>
      <c r="AT142" s="3" t="n"/>
    </row>
    <row r="143">
      <c r="A143" t="inlineStr">
        <is>
          <t>C-0104</t>
        </is>
      </c>
      <c r="B143" t="inlineStr">
        <is>
          <t>Spirit Quartz</t>
        </is>
      </c>
      <c r="C143" t="inlineStr">
        <is>
          <t>Cactus Quartz</t>
        </is>
      </c>
      <c r="D143" t="inlineStr">
        <is>
          <t>Quartz</t>
        </is>
      </c>
      <c r="E143" t="inlineStr">
        <is>
          <t>Quartz</t>
        </is>
      </c>
      <c r="F143" t="n">
        <v>2</v>
      </c>
      <c r="G143" t="n">
        <v>15</v>
      </c>
      <c r="H143" t="n">
        <v>104</v>
      </c>
      <c r="I143" t="n">
        <v>104</v>
      </c>
      <c r="J143" t="inlineStr">
        <is>
          <t>Spinel</t>
        </is>
      </c>
      <c r="K143" t="inlineStr">
        <is>
          <t>spinel</t>
        </is>
      </c>
      <c r="L143" t="inlineStr">
        <is>
          <t>Star Aragonite</t>
        </is>
      </c>
      <c r="M143" t="inlineStr">
        <is>
          <t>star-aragonite</t>
        </is>
      </c>
      <c r="N143" t="b">
        <v>0</v>
      </c>
      <c r="O143" t="inlineStr">
        <is>
          <t>spirit-quartz</t>
        </is>
      </c>
      <c r="P143" t="inlineStr">
        <is>
          <t>Not Started</t>
        </is>
      </c>
      <c r="Q143" t="inlineStr">
        <is>
          <t>Crown</t>
        </is>
      </c>
      <c r="S143" t="inlineStr">
        <is>
          <t>Crown</t>
        </is>
      </c>
      <c r="X143" t="inlineStr">
        <is>
          <t>Mineral</t>
        </is>
      </c>
      <c r="Z143" s="3" t="inlineStr">
        <is>
          <t>Shared harmony</t>
        </is>
      </c>
      <c r="AA143" s="3" t="inlineStr">
        <is>
          <t>Use when you want to strengthen connection without losing your own center within the group.</t>
        </is>
      </c>
      <c r="AB143" s="3" t="n"/>
      <c r="AC143" t="inlineStr">
        <is>
          <t>Protection</t>
        </is>
      </c>
      <c r="AD143" t="inlineStr">
        <is>
          <t>Spiritual Connection</t>
        </is>
      </c>
      <c r="AF143" t="inlineStr">
        <is>
          <t>["Harmony","Spirit","Connection"]</t>
        </is>
      </c>
      <c r="AK143" t="b">
        <v>0</v>
      </c>
      <c r="AL143" t="inlineStr">
        <is>
          <t>Unreviewed</t>
        </is>
      </c>
      <c r="AM143" t="inlineStr">
        <is>
          <t>Not Started</t>
        </is>
      </c>
      <c r="AN143" t="inlineStr">
        <is>
          <t>Not Started</t>
        </is>
      </c>
      <c r="AO143" t="inlineStr">
        <is>
          <t>Not Started</t>
        </is>
      </c>
      <c r="AP143" t="inlineStr">
        <is>
          <t>Not Started</t>
        </is>
      </c>
      <c r="AR143" t="inlineStr">
        <is>
          <t>v0.3-2026-06-29</t>
        </is>
      </c>
      <c r="AT143" s="3" t="n"/>
    </row>
    <row r="144">
      <c r="A144" t="inlineStr">
        <is>
          <t>C-0346</t>
        </is>
      </c>
      <c r="B144" t="inlineStr">
        <is>
          <t>Stilbite</t>
        </is>
      </c>
      <c r="D144" t="inlineStr">
        <is>
          <t>Silicates</t>
        </is>
      </c>
      <c r="E144" t="inlineStr">
        <is>
          <t>Stilbite</t>
        </is>
      </c>
      <c r="F144" t="n">
        <v>2</v>
      </c>
      <c r="G144" t="n">
        <v>15</v>
      </c>
      <c r="H144" t="n">
        <v>346</v>
      </c>
      <c r="I144" t="n">
        <v>346</v>
      </c>
      <c r="J144" t="inlineStr">
        <is>
          <t>Stichtite</t>
        </is>
      </c>
      <c r="K144" t="inlineStr">
        <is>
          <t>stichtite</t>
        </is>
      </c>
      <c r="L144" t="inlineStr">
        <is>
          <t>Strawberry Quartz</t>
        </is>
      </c>
      <c r="M144" t="inlineStr">
        <is>
          <t>strawberry-quartz</t>
        </is>
      </c>
      <c r="N144" t="b">
        <v>0</v>
      </c>
      <c r="O144" t="inlineStr">
        <is>
          <t>stilbite</t>
        </is>
      </c>
      <c r="P144" t="inlineStr">
        <is>
          <t>Not Started</t>
        </is>
      </c>
      <c r="Q144" t="inlineStr">
        <is>
          <t>Heart</t>
        </is>
      </c>
      <c r="R144" t="inlineStr">
        <is>
          <t>Crown</t>
        </is>
      </c>
      <c r="S144" t="inlineStr">
        <is>
          <t>Heart</t>
        </is>
      </c>
      <c r="X144" t="inlineStr">
        <is>
          <t>Mineral</t>
        </is>
      </c>
      <c r="Z144" s="3" t="inlineStr">
        <is>
          <t>Gentle openness</t>
        </is>
      </c>
      <c r="AA144" s="3" t="inlineStr">
        <is>
          <t>Use when part of you wants to open to a new possibility while another part is afraid of being disappointed.</t>
        </is>
      </c>
      <c r="AB144" s="3" t="n"/>
      <c r="AC144" t="inlineStr">
        <is>
          <t>Calm &amp; Peace</t>
        </is>
      </c>
      <c r="AD144" t="inlineStr">
        <is>
          <t>Heart Healing</t>
        </is>
      </c>
      <c r="AF144" t="inlineStr">
        <is>
          <t>["Openness","Dreams","Peace"]</t>
        </is>
      </c>
      <c r="AK144" t="b">
        <v>0</v>
      </c>
      <c r="AL144" t="inlineStr">
        <is>
          <t>Unreviewed</t>
        </is>
      </c>
      <c r="AM144" t="inlineStr">
        <is>
          <t>Not Started</t>
        </is>
      </c>
      <c r="AN144" t="inlineStr">
        <is>
          <t>Not Started</t>
        </is>
      </c>
      <c r="AO144" t="inlineStr">
        <is>
          <t>Not Started</t>
        </is>
      </c>
      <c r="AP144" t="inlineStr">
        <is>
          <t>Not Started</t>
        </is>
      </c>
      <c r="AR144" t="inlineStr">
        <is>
          <t>v0.3-2026-06-29</t>
        </is>
      </c>
      <c r="AT144" s="3" t="n"/>
    </row>
    <row r="145">
      <c r="A145" t="inlineStr">
        <is>
          <t>C-0109</t>
        </is>
      </c>
      <c r="B145" t="inlineStr">
        <is>
          <t>Tangerine Quartz</t>
        </is>
      </c>
      <c r="D145" t="inlineStr">
        <is>
          <t>Quartz</t>
        </is>
      </c>
      <c r="E145" t="inlineStr">
        <is>
          <t>Quartz</t>
        </is>
      </c>
      <c r="F145" t="n">
        <v>2</v>
      </c>
      <c r="G145" t="n">
        <v>15</v>
      </c>
      <c r="H145" t="n">
        <v>109</v>
      </c>
      <c r="I145" t="n">
        <v>109</v>
      </c>
      <c r="J145" t="inlineStr">
        <is>
          <t>Super Seven</t>
        </is>
      </c>
      <c r="K145" t="inlineStr">
        <is>
          <t>super-seven</t>
        </is>
      </c>
      <c r="L145" t="inlineStr">
        <is>
          <t>Tanzan Aura Quartz</t>
        </is>
      </c>
      <c r="M145" t="inlineStr">
        <is>
          <t>tanzan-aura-quartz</t>
        </is>
      </c>
      <c r="N145" t="b">
        <v>0</v>
      </c>
      <c r="O145" t="inlineStr">
        <is>
          <t>tangerine-quartz</t>
        </is>
      </c>
      <c r="P145" t="inlineStr">
        <is>
          <t>Not Started</t>
        </is>
      </c>
      <c r="Q145" t="inlineStr">
        <is>
          <t>Sacral</t>
        </is>
      </c>
      <c r="S145" t="inlineStr">
        <is>
          <t>Sacral</t>
        </is>
      </c>
      <c r="X145" t="inlineStr">
        <is>
          <t>Mineral</t>
        </is>
      </c>
      <c r="Z145" s="3" t="inlineStr">
        <is>
          <t>Creative courage</t>
        </is>
      </c>
      <c r="AA145" s="3" t="inlineStr">
        <is>
          <t>Use when you need warmth and encouragement to move from preparation into participation.</t>
        </is>
      </c>
      <c r="AB145" s="3" t="n"/>
      <c r="AC145" t="inlineStr">
        <is>
          <t>Joy</t>
        </is>
      </c>
      <c r="AD145" t="inlineStr">
        <is>
          <t>Emotional Balance</t>
        </is>
      </c>
      <c r="AF145" t="inlineStr">
        <is>
          <t>["Creativity","Confidence","Joy"]</t>
        </is>
      </c>
      <c r="AK145" t="b">
        <v>0</v>
      </c>
      <c r="AL145" t="inlineStr">
        <is>
          <t>Unreviewed</t>
        </is>
      </c>
      <c r="AM145" t="inlineStr">
        <is>
          <t>Not Started</t>
        </is>
      </c>
      <c r="AN145" t="inlineStr">
        <is>
          <t>Not Started</t>
        </is>
      </c>
      <c r="AO145" t="inlineStr">
        <is>
          <t>Not Started</t>
        </is>
      </c>
      <c r="AP145" t="inlineStr">
        <is>
          <t>Not Started</t>
        </is>
      </c>
      <c r="AR145" t="inlineStr">
        <is>
          <t>v0.3-2026-06-29</t>
        </is>
      </c>
      <c r="AT145" s="3" t="n"/>
    </row>
    <row r="146">
      <c r="A146" t="inlineStr">
        <is>
          <t>C-0349</t>
        </is>
      </c>
      <c r="B146" t="inlineStr">
        <is>
          <t>Thunderegg</t>
        </is>
      </c>
      <c r="D146" t="inlineStr">
        <is>
          <t>Quartz</t>
        </is>
      </c>
      <c r="E146" t="inlineStr">
        <is>
          <t>Agate</t>
        </is>
      </c>
      <c r="F146" t="n">
        <v>2</v>
      </c>
      <c r="G146" t="n">
        <v>16</v>
      </c>
      <c r="H146" t="n">
        <v>349</v>
      </c>
      <c r="I146" t="n">
        <v>349</v>
      </c>
      <c r="J146" t="inlineStr">
        <is>
          <t>Thulite</t>
        </is>
      </c>
      <c r="K146" t="inlineStr">
        <is>
          <t>thulite</t>
        </is>
      </c>
      <c r="L146" t="inlineStr">
        <is>
          <t>Tibetan Quartz</t>
        </is>
      </c>
      <c r="M146" t="inlineStr">
        <is>
          <t>tibetan-quartz</t>
        </is>
      </c>
      <c r="N146" t="b">
        <v>0</v>
      </c>
      <c r="O146" t="inlineStr">
        <is>
          <t>thunderegg</t>
        </is>
      </c>
      <c r="P146" t="inlineStr">
        <is>
          <t>Not Started</t>
        </is>
      </c>
      <c r="Q146" t="inlineStr">
        <is>
          <t>Root</t>
        </is>
      </c>
      <c r="R146" t="inlineStr">
        <is>
          <t>Third Eye</t>
        </is>
      </c>
      <c r="S146" t="inlineStr">
        <is>
          <t>Root</t>
        </is>
      </c>
      <c r="X146" t="inlineStr">
        <is>
          <t>Mineral</t>
        </is>
      </c>
      <c r="Z146" s="3" t="inlineStr">
        <is>
          <t>Hidden potential</t>
        </is>
      </c>
      <c r="AA146" s="3" t="inlineStr">
        <is>
          <t>Use when something appears ordinary or closed but you sense there may be more beneath the surface.</t>
        </is>
      </c>
      <c r="AB146" s="3" t="n"/>
      <c r="AC146" t="inlineStr">
        <is>
          <t>Grounding</t>
        </is>
      </c>
      <c r="AD146" t="inlineStr">
        <is>
          <t>Intuition</t>
        </is>
      </c>
      <c r="AF146" t="inlineStr">
        <is>
          <t>["Transformation","Insight","Patience"]</t>
        </is>
      </c>
      <c r="AK146" t="b">
        <v>0</v>
      </c>
      <c r="AL146" t="inlineStr">
        <is>
          <t>Unreviewed</t>
        </is>
      </c>
      <c r="AM146" t="inlineStr">
        <is>
          <t>Not Started</t>
        </is>
      </c>
      <c r="AN146" t="inlineStr">
        <is>
          <t>Not Started</t>
        </is>
      </c>
      <c r="AO146" t="inlineStr">
        <is>
          <t>Not Started</t>
        </is>
      </c>
      <c r="AP146" t="inlineStr">
        <is>
          <t>Not Started</t>
        </is>
      </c>
      <c r="AR146" t="inlineStr">
        <is>
          <t>v0.3-2026-06-29</t>
        </is>
      </c>
      <c r="AT146" s="3" t="n"/>
    </row>
    <row r="147">
      <c r="A147" t="inlineStr">
        <is>
          <t>C-0351</t>
        </is>
      </c>
      <c r="B147" t="inlineStr">
        <is>
          <t>Titanium Aura Quartz</t>
        </is>
      </c>
      <c r="C147" t="inlineStr">
        <is>
          <t>Rainbow Aura Quartz</t>
        </is>
      </c>
      <c r="D147" t="inlineStr">
        <is>
          <t>Quartz</t>
        </is>
      </c>
      <c r="E147" t="inlineStr">
        <is>
          <t>Quartz</t>
        </is>
      </c>
      <c r="F147" t="n">
        <v>2</v>
      </c>
      <c r="G147" t="n">
        <v>16</v>
      </c>
      <c r="H147" t="n">
        <v>351</v>
      </c>
      <c r="I147" t="n">
        <v>351</v>
      </c>
      <c r="J147" t="inlineStr">
        <is>
          <t>Tiffany Stone</t>
        </is>
      </c>
      <c r="K147" t="inlineStr">
        <is>
          <t>tiffany-stone</t>
        </is>
      </c>
      <c r="L147" t="inlineStr">
        <is>
          <t>Topaz</t>
        </is>
      </c>
      <c r="M147" t="inlineStr">
        <is>
          <t>topaz</t>
        </is>
      </c>
      <c r="N147" t="b">
        <v>0</v>
      </c>
      <c r="O147" t="inlineStr">
        <is>
          <t>titanium-aura-quartz</t>
        </is>
      </c>
      <c r="P147" t="inlineStr">
        <is>
          <t>Not Started</t>
        </is>
      </c>
      <c r="Q147" t="inlineStr">
        <is>
          <t>Crown</t>
        </is>
      </c>
      <c r="S147" t="inlineStr">
        <is>
          <t>Crown</t>
        </is>
      </c>
      <c r="X147" t="inlineStr">
        <is>
          <t>Mineral</t>
        </is>
      </c>
      <c r="Z147" s="3" t="inlineStr">
        <is>
          <t>Bold expression</t>
        </is>
      </c>
      <c r="AA147" s="3" t="inlineStr">
        <is>
          <t>Use when you want to step into a larger presence without becoming scattered or overstimulated.</t>
        </is>
      </c>
      <c r="AB147" s="3" t="n"/>
      <c r="AC147" t="inlineStr">
        <is>
          <t>Joy</t>
        </is>
      </c>
      <c r="AD147" t="inlineStr">
        <is>
          <t>Vitality</t>
        </is>
      </c>
      <c r="AF147" t="inlineStr">
        <is>
          <t>["Confidence","Joy","Uplift"]</t>
        </is>
      </c>
      <c r="AK147" t="b">
        <v>0</v>
      </c>
      <c r="AL147" t="inlineStr">
        <is>
          <t>Unreviewed</t>
        </is>
      </c>
      <c r="AM147" t="inlineStr">
        <is>
          <t>Not Started</t>
        </is>
      </c>
      <c r="AN147" t="inlineStr">
        <is>
          <t>Not Started</t>
        </is>
      </c>
      <c r="AO147" t="inlineStr">
        <is>
          <t>Not Started</t>
        </is>
      </c>
      <c r="AP147" t="inlineStr">
        <is>
          <t>Not Started</t>
        </is>
      </c>
      <c r="AR147" t="inlineStr">
        <is>
          <t>v0.3-2026-06-29</t>
        </is>
      </c>
      <c r="AT147" s="3" t="n"/>
    </row>
    <row r="148">
      <c r="A148" t="inlineStr">
        <is>
          <t>C-0112</t>
        </is>
      </c>
      <c r="B148" t="inlineStr">
        <is>
          <t>Tourmaline Quartz</t>
        </is>
      </c>
      <c r="D148" t="inlineStr">
        <is>
          <t>Quartz</t>
        </is>
      </c>
      <c r="E148" t="inlineStr">
        <is>
          <t>Quartz</t>
        </is>
      </c>
      <c r="F148" t="n">
        <v>2</v>
      </c>
      <c r="G148" t="n">
        <v>16</v>
      </c>
      <c r="H148" t="n">
        <v>112</v>
      </c>
      <c r="I148" t="n">
        <v>112</v>
      </c>
      <c r="J148" t="inlineStr">
        <is>
          <t>Topaz</t>
        </is>
      </c>
      <c r="K148" t="inlineStr">
        <is>
          <t>topaz</t>
        </is>
      </c>
      <c r="L148" t="inlineStr">
        <is>
          <t>Tree Agate</t>
        </is>
      </c>
      <c r="M148" t="inlineStr">
        <is>
          <t>tree-agate</t>
        </is>
      </c>
      <c r="N148" t="b">
        <v>0</v>
      </c>
      <c r="O148" t="inlineStr">
        <is>
          <t>tourmaline-quartz</t>
        </is>
      </c>
      <c r="P148" t="inlineStr">
        <is>
          <t>Not Started</t>
        </is>
      </c>
      <c r="Q148" t="inlineStr">
        <is>
          <t>Root</t>
        </is>
      </c>
      <c r="S148" t="inlineStr">
        <is>
          <t>Root</t>
        </is>
      </c>
      <c r="X148" t="inlineStr">
        <is>
          <t>Mineral</t>
        </is>
      </c>
      <c r="Z148" s="3" t="inlineStr">
        <is>
          <t>Protected clarity</t>
        </is>
      </c>
      <c r="AA148" s="3" t="inlineStr">
        <is>
          <t>Use when you need to think clearly without becoming overly affected by the atmosphere around you.</t>
        </is>
      </c>
      <c r="AB148" s="3" t="n"/>
      <c r="AC148" t="inlineStr">
        <is>
          <t>Protection</t>
        </is>
      </c>
      <c r="AD148" t="inlineStr">
        <is>
          <t>Clarity &amp; Focus</t>
        </is>
      </c>
      <c r="AF148" t="inlineStr">
        <is>
          <t>["Protection","Grounding","Clarity"]</t>
        </is>
      </c>
      <c r="AK148" t="b">
        <v>0</v>
      </c>
      <c r="AL148" t="inlineStr">
        <is>
          <t>Unreviewed</t>
        </is>
      </c>
      <c r="AM148" t="inlineStr">
        <is>
          <t>Not Started</t>
        </is>
      </c>
      <c r="AN148" t="inlineStr">
        <is>
          <t>Not Started</t>
        </is>
      </c>
      <c r="AO148" t="inlineStr">
        <is>
          <t>Not Started</t>
        </is>
      </c>
      <c r="AP148" t="inlineStr">
        <is>
          <t>Not Started</t>
        </is>
      </c>
      <c r="AR148" t="inlineStr">
        <is>
          <t>v0.3-2026-06-29</t>
        </is>
      </c>
      <c r="AT148" s="3" t="n"/>
    </row>
    <row r="149">
      <c r="A149" t="inlineStr">
        <is>
          <t>C-0079</t>
        </is>
      </c>
      <c r="B149" t="inlineStr">
        <is>
          <t>Tree Agate</t>
        </is>
      </c>
      <c r="D149" t="inlineStr">
        <is>
          <t>Quartz</t>
        </is>
      </c>
      <c r="E149" t="inlineStr">
        <is>
          <t>Quartz</t>
        </is>
      </c>
      <c r="F149" t="n">
        <v>2</v>
      </c>
      <c r="G149" t="n">
        <v>16</v>
      </c>
      <c r="H149" t="n">
        <v>79</v>
      </c>
      <c r="I149" t="n">
        <v>79</v>
      </c>
      <c r="J149" t="inlineStr">
        <is>
          <t>Tourmaline Quartz</t>
        </is>
      </c>
      <c r="K149" t="inlineStr">
        <is>
          <t>tourmaline-quartz</t>
        </is>
      </c>
      <c r="L149" t="inlineStr">
        <is>
          <t>Tremolite</t>
        </is>
      </c>
      <c r="M149" t="inlineStr">
        <is>
          <t>tremolite</t>
        </is>
      </c>
      <c r="N149" t="b">
        <v>0</v>
      </c>
      <c r="O149" t="inlineStr">
        <is>
          <t>tree-agate</t>
        </is>
      </c>
      <c r="P149" t="inlineStr">
        <is>
          <t>Not Started</t>
        </is>
      </c>
      <c r="Q149" t="inlineStr">
        <is>
          <t>Heart</t>
        </is>
      </c>
      <c r="R149" t="inlineStr">
        <is>
          <t>Root</t>
        </is>
      </c>
      <c r="S149" t="inlineStr">
        <is>
          <t>Heart</t>
        </is>
      </c>
      <c r="X149" t="inlineStr">
        <is>
          <t>Mineral</t>
        </is>
      </c>
      <c r="Z149" s="3" t="inlineStr">
        <is>
          <t>Rooted growth</t>
        </is>
      </c>
      <c r="AA149" s="3" t="inlineStr">
        <is>
          <t>Use when you want to grow without losing the routines, relationships, or values that keep you grounded.</t>
        </is>
      </c>
      <c r="AB149" s="3" t="n"/>
      <c r="AC149" t="inlineStr">
        <is>
          <t>Grounding</t>
        </is>
      </c>
      <c r="AD149" t="inlineStr">
        <is>
          <t>Calm &amp; Peace</t>
        </is>
      </c>
      <c r="AF149" t="inlineStr">
        <is>
          <t>["Growth","Grounding","Stability"]</t>
        </is>
      </c>
      <c r="AK149" t="b">
        <v>0</v>
      </c>
      <c r="AL149" t="inlineStr">
        <is>
          <t>Unreviewed</t>
        </is>
      </c>
      <c r="AM149" t="inlineStr">
        <is>
          <t>Not Started</t>
        </is>
      </c>
      <c r="AN149" t="inlineStr">
        <is>
          <t>Not Started</t>
        </is>
      </c>
      <c r="AO149" t="inlineStr">
        <is>
          <t>Not Started</t>
        </is>
      </c>
      <c r="AP149" t="inlineStr">
        <is>
          <t>Not Started</t>
        </is>
      </c>
      <c r="AR149" t="inlineStr">
        <is>
          <t>v0.3-2026-06-29</t>
        </is>
      </c>
      <c r="AT149" s="3" t="n"/>
    </row>
    <row r="150">
      <c r="A150" t="inlineStr">
        <is>
          <t>C-0228</t>
        </is>
      </c>
      <c r="B150" t="inlineStr">
        <is>
          <t>Turquoise</t>
        </is>
      </c>
      <c r="D150" t="inlineStr">
        <is>
          <t>Phosphates</t>
        </is>
      </c>
      <c r="E150" t="inlineStr">
        <is>
          <t>Turquoise</t>
        </is>
      </c>
      <c r="F150" t="n">
        <v>2</v>
      </c>
      <c r="G150" t="n">
        <v>16</v>
      </c>
      <c r="H150" t="n">
        <v>228</v>
      </c>
      <c r="I150" t="n">
        <v>228</v>
      </c>
      <c r="J150" t="inlineStr">
        <is>
          <t>Trolleite</t>
        </is>
      </c>
      <c r="K150" t="inlineStr">
        <is>
          <t>trolleite</t>
        </is>
      </c>
      <c r="L150" t="inlineStr">
        <is>
          <t>Turritella Agate</t>
        </is>
      </c>
      <c r="M150" t="inlineStr">
        <is>
          <t>turritella-agate</t>
        </is>
      </c>
      <c r="N150" t="b">
        <v>0</v>
      </c>
      <c r="O150" t="inlineStr">
        <is>
          <t>turquoise</t>
        </is>
      </c>
      <c r="P150" t="inlineStr">
        <is>
          <t>Not Started</t>
        </is>
      </c>
      <c r="Q150" t="inlineStr">
        <is>
          <t>Throat</t>
        </is>
      </c>
      <c r="R150" t="inlineStr">
        <is>
          <t>Third Eye</t>
        </is>
      </c>
      <c r="S150" t="inlineStr">
        <is>
          <t>Throat</t>
        </is>
      </c>
      <c r="X150" t="inlineStr">
        <is>
          <t>Mineral</t>
        </is>
      </c>
      <c r="Z150" s="3" t="inlineStr">
        <is>
          <t>Protected expression</t>
        </is>
      </c>
      <c r="AA150" s="3" t="inlineStr">
        <is>
          <t>Use when you need to speak openly while remaining grounded in your values and personal boundaries.</t>
        </is>
      </c>
      <c r="AB150" s="3" t="n"/>
      <c r="AC150" t="inlineStr">
        <is>
          <t>Protection</t>
        </is>
      </c>
      <c r="AD150" t="inlineStr">
        <is>
          <t>Calm &amp; Peace</t>
        </is>
      </c>
      <c r="AF150" t="inlineStr">
        <is>
          <t>["Protection","Communication","Wisdom"]</t>
        </is>
      </c>
      <c r="AK150" t="b">
        <v>0</v>
      </c>
      <c r="AL150" t="inlineStr">
        <is>
          <t>Unreviewed</t>
        </is>
      </c>
      <c r="AM150" t="inlineStr">
        <is>
          <t>Not Started</t>
        </is>
      </c>
      <c r="AN150" t="inlineStr">
        <is>
          <t>Not Started</t>
        </is>
      </c>
      <c r="AO150" t="inlineStr">
        <is>
          <t>Not Started</t>
        </is>
      </c>
      <c r="AP150" t="inlineStr">
        <is>
          <t>Not Started</t>
        </is>
      </c>
      <c r="AR150" t="inlineStr">
        <is>
          <t>v0.3-2026-06-29</t>
        </is>
      </c>
      <c r="AT150" s="3" t="n"/>
    </row>
    <row r="151">
      <c r="A151" t="inlineStr">
        <is>
          <t>C-0101</t>
        </is>
      </c>
      <c r="B151" t="inlineStr">
        <is>
          <t>Yellow Jasper</t>
        </is>
      </c>
      <c r="D151" t="inlineStr">
        <is>
          <t>Quartz</t>
        </is>
      </c>
      <c r="E151" t="inlineStr">
        <is>
          <t>Quartz</t>
        </is>
      </c>
      <c r="F151" t="n">
        <v>2</v>
      </c>
      <c r="G151" t="n">
        <v>16</v>
      </c>
      <c r="H151" t="n">
        <v>101</v>
      </c>
      <c r="I151" t="n">
        <v>101</v>
      </c>
      <c r="J151" t="inlineStr">
        <is>
          <t>Yellow Fluorite</t>
        </is>
      </c>
      <c r="K151" t="inlineStr">
        <is>
          <t>yellow-fluorite</t>
        </is>
      </c>
      <c r="L151" t="inlineStr">
        <is>
          <t>Yooperlite</t>
        </is>
      </c>
      <c r="M151" t="inlineStr">
        <is>
          <t>yooperlite</t>
        </is>
      </c>
      <c r="N151" t="b">
        <v>0</v>
      </c>
      <c r="O151" t="inlineStr">
        <is>
          <t>yellow-jasper</t>
        </is>
      </c>
      <c r="P151" t="inlineStr">
        <is>
          <t>Not Started</t>
        </is>
      </c>
      <c r="Q151" t="inlineStr">
        <is>
          <t>Solar Plexus</t>
        </is>
      </c>
      <c r="R151" t="inlineStr">
        <is>
          <t>Root</t>
        </is>
      </c>
      <c r="S151" t="inlineStr">
        <is>
          <t>Solar Plexus</t>
        </is>
      </c>
      <c r="X151" t="inlineStr">
        <is>
          <t>Mineral</t>
        </is>
      </c>
      <c r="Z151" s="3" t="inlineStr">
        <is>
          <t>Steady confidence</t>
        </is>
      </c>
      <c r="AA151" s="3" t="inlineStr">
        <is>
          <t>Use when you need to remain capable and composed through a task that will take longer than you would prefer.</t>
        </is>
      </c>
      <c r="AB151" s="3" t="n"/>
      <c r="AC151" t="inlineStr">
        <is>
          <t>Confidence</t>
        </is>
      </c>
      <c r="AD151" t="inlineStr">
        <is>
          <t>Joy</t>
        </is>
      </c>
      <c r="AE151" t="inlineStr">
        <is>
          <t>Calm &amp; Peace</t>
        </is>
      </c>
      <c r="AF151" t="inlineStr">
        <is>
          <t>["Confidence","Grounding","Endurance"]</t>
        </is>
      </c>
      <c r="AK151" t="b">
        <v>0</v>
      </c>
      <c r="AL151" t="inlineStr">
        <is>
          <t>Unreviewed</t>
        </is>
      </c>
      <c r="AM151" t="inlineStr">
        <is>
          <t>Not Started</t>
        </is>
      </c>
      <c r="AN151" t="inlineStr">
        <is>
          <t>Not Started</t>
        </is>
      </c>
      <c r="AO151" t="inlineStr">
        <is>
          <t>Not Started</t>
        </is>
      </c>
      <c r="AP151" t="inlineStr">
        <is>
          <t>Not Started</t>
        </is>
      </c>
      <c r="AR151" t="inlineStr">
        <is>
          <t>v0.3-2026-06-29</t>
        </is>
      </c>
      <c r="AT151" s="3" t="n"/>
    </row>
    <row r="152">
      <c r="A152" t="inlineStr">
        <is>
          <t>C-0203</t>
        </is>
      </c>
      <c r="B152" t="inlineStr">
        <is>
          <t>Yooperlite</t>
        </is>
      </c>
      <c r="C152" t="inlineStr">
        <is>
          <t>Flame Stone</t>
        </is>
      </c>
      <c r="D152" t="inlineStr">
        <is>
          <t>Aggregate</t>
        </is>
      </c>
      <c r="E152" t="inlineStr">
        <is>
          <t>Sodalite; Feldspar</t>
        </is>
      </c>
      <c r="F152" t="n">
        <v>2</v>
      </c>
      <c r="G152" t="n">
        <v>16</v>
      </c>
      <c r="H152" t="n">
        <v>203</v>
      </c>
      <c r="I152" t="n">
        <v>203</v>
      </c>
      <c r="J152" t="inlineStr">
        <is>
          <t>Yellow Jasper</t>
        </is>
      </c>
      <c r="K152" t="inlineStr">
        <is>
          <t>yellow-jasper</t>
        </is>
      </c>
      <c r="L152" t="inlineStr">
        <is>
          <t>Zebra Calcite</t>
        </is>
      </c>
      <c r="M152" t="inlineStr">
        <is>
          <t>zebra-calcite</t>
        </is>
      </c>
      <c r="N152" t="b">
        <v>0</v>
      </c>
      <c r="O152" t="inlineStr">
        <is>
          <t>yooperlite</t>
        </is>
      </c>
      <c r="P152" t="inlineStr">
        <is>
          <t>Not Started</t>
        </is>
      </c>
      <c r="Q152" t="inlineStr">
        <is>
          <t>Third Eye</t>
        </is>
      </c>
      <c r="R152" t="inlineStr">
        <is>
          <t>Throat</t>
        </is>
      </c>
      <c r="S152" t="inlineStr">
        <is>
          <t>Third Eye</t>
        </is>
      </c>
      <c r="X152" t="inlineStr">
        <is>
          <t>Rock</t>
        </is>
      </c>
      <c r="Z152" s="3" t="inlineStr">
        <is>
          <t>Hidden self-discovery</t>
        </is>
      </c>
      <c r="AA152" s="3" t="inlineStr">
        <is>
          <t>Use when you suspect there is more to your ability, personality, or situation than current circumstances reveal.</t>
        </is>
      </c>
      <c r="AB152" s="3" t="n"/>
      <c r="AC152" t="inlineStr">
        <is>
          <t>Intuition</t>
        </is>
      </c>
      <c r="AF152" t="inlineStr">
        <is>
          <t>["Insight","Intuition","Transformation"]</t>
        </is>
      </c>
      <c r="AK152" t="b">
        <v>0</v>
      </c>
      <c r="AL152" t="inlineStr">
        <is>
          <t>Unreviewed</t>
        </is>
      </c>
      <c r="AM152" t="inlineStr">
        <is>
          <t>Not Started</t>
        </is>
      </c>
      <c r="AN152" t="inlineStr">
        <is>
          <t>Not Started</t>
        </is>
      </c>
      <c r="AO152" t="inlineStr">
        <is>
          <t>Not Started</t>
        </is>
      </c>
      <c r="AP152" t="inlineStr">
        <is>
          <t>Not Started</t>
        </is>
      </c>
      <c r="AR152" t="inlineStr">
        <is>
          <t>v0.3-2026-06-29</t>
        </is>
      </c>
      <c r="AT152" s="3" t="n"/>
    </row>
    <row r="153">
      <c r="A153" t="inlineStr">
        <is>
          <t>C-0018</t>
        </is>
      </c>
      <c r="B153" t="inlineStr">
        <is>
          <t>Zebra Calcite</t>
        </is>
      </c>
      <c r="D153" t="inlineStr">
        <is>
          <t>Calcite</t>
        </is>
      </c>
      <c r="E153" t="inlineStr">
        <is>
          <t>Calcite</t>
        </is>
      </c>
      <c r="F153" t="n">
        <v>2</v>
      </c>
      <c r="G153" t="n">
        <v>16</v>
      </c>
      <c r="H153" t="n">
        <v>18</v>
      </c>
      <c r="I153" t="n">
        <v>18</v>
      </c>
      <c r="J153" t="inlineStr">
        <is>
          <t>Yooperlite</t>
        </is>
      </c>
      <c r="K153" t="inlineStr">
        <is>
          <t>yooperlite</t>
        </is>
      </c>
      <c r="L153" t="inlineStr">
        <is>
          <t>Zebra Jasper</t>
        </is>
      </c>
      <c r="M153" t="inlineStr">
        <is>
          <t>zebra-jasper</t>
        </is>
      </c>
      <c r="N153" t="b">
        <v>0</v>
      </c>
      <c r="O153" t="inlineStr">
        <is>
          <t>zebra-calcite</t>
        </is>
      </c>
      <c r="P153" t="inlineStr">
        <is>
          <t>Not Started</t>
        </is>
      </c>
      <c r="Q153" t="inlineStr">
        <is>
          <t>Root</t>
        </is>
      </c>
      <c r="S153" t="inlineStr">
        <is>
          <t>Root</t>
        </is>
      </c>
      <c r="X153" t="inlineStr">
        <is>
          <t>Mineral</t>
        </is>
      </c>
      <c r="Z153" s="3" t="inlineStr">
        <is>
          <t>Inner integration</t>
        </is>
      </c>
      <c r="AA153" s="3" t="inlineStr">
        <is>
          <t>Use when two parts of you want different things and neither one should be ignored or overruled.</t>
        </is>
      </c>
      <c r="AB153" s="3" t="n"/>
      <c r="AC153" t="inlineStr">
        <is>
          <t>Emotional Balance</t>
        </is>
      </c>
      <c r="AD153" t="inlineStr">
        <is>
          <t>Calm &amp; Peace</t>
        </is>
      </c>
      <c r="AF153" t="inlineStr">
        <is>
          <t>["Balance","Integration","Stability"]</t>
        </is>
      </c>
      <c r="AK153" t="b">
        <v>0</v>
      </c>
      <c r="AL153" t="inlineStr">
        <is>
          <t>Unreviewed</t>
        </is>
      </c>
      <c r="AM153" t="inlineStr">
        <is>
          <t>Not Started</t>
        </is>
      </c>
      <c r="AN153" t="inlineStr">
        <is>
          <t>Not Started</t>
        </is>
      </c>
      <c r="AO153" t="inlineStr">
        <is>
          <t>Not Started</t>
        </is>
      </c>
      <c r="AP153" t="inlineStr">
        <is>
          <t>Not Started</t>
        </is>
      </c>
      <c r="AR153" t="inlineStr">
        <is>
          <t>v0.3-2026-06-29</t>
        </is>
      </c>
      <c r="AT153" s="3" t="n"/>
    </row>
    <row r="154">
      <c r="A154" t="inlineStr">
        <is>
          <t>C-0102</t>
        </is>
      </c>
      <c r="B154" t="inlineStr">
        <is>
          <t>Zebra Jasper</t>
        </is>
      </c>
      <c r="D154" t="inlineStr">
        <is>
          <t>Quartz</t>
        </is>
      </c>
      <c r="E154" t="inlineStr">
        <is>
          <t>Quartz</t>
        </is>
      </c>
      <c r="F154" t="n">
        <v>2</v>
      </c>
      <c r="G154" t="n">
        <v>16</v>
      </c>
      <c r="H154" t="n">
        <v>102</v>
      </c>
      <c r="I154" t="n">
        <v>102</v>
      </c>
      <c r="J154" t="inlineStr">
        <is>
          <t>Zebra Calcite</t>
        </is>
      </c>
      <c r="K154" t="inlineStr">
        <is>
          <t>zebra-calcite</t>
        </is>
      </c>
      <c r="L154" t="inlineStr">
        <is>
          <t>Zincite</t>
        </is>
      </c>
      <c r="M154" t="inlineStr">
        <is>
          <t>zincite</t>
        </is>
      </c>
      <c r="N154" t="b">
        <v>0</v>
      </c>
      <c r="O154" t="inlineStr">
        <is>
          <t>zebra-jasper</t>
        </is>
      </c>
      <c r="P154" t="inlineStr">
        <is>
          <t>Not Started</t>
        </is>
      </c>
      <c r="Q154" t="inlineStr">
        <is>
          <t>Root</t>
        </is>
      </c>
      <c r="S154" t="inlineStr">
        <is>
          <t>Root</t>
        </is>
      </c>
      <c r="X154" t="inlineStr">
        <is>
          <t>Mineral</t>
        </is>
      </c>
      <c r="Z154" s="3" t="inlineStr">
        <is>
          <t>Balanced cooperation</t>
        </is>
      </c>
      <c r="AA154" s="3" t="inlineStr">
        <is>
          <t>Use when two people, priorities, or parts of yourself need to coexist without one dominating the other.</t>
        </is>
      </c>
      <c r="AB154" s="3" t="n"/>
      <c r="AC154" t="inlineStr">
        <is>
          <t>Vitality</t>
        </is>
      </c>
      <c r="AD154" t="inlineStr">
        <is>
          <t>Emotional Balance</t>
        </is>
      </c>
      <c r="AF154" t="inlineStr">
        <is>
          <t>["Balance","Harmony","Grounding"]</t>
        </is>
      </c>
      <c r="AK154" t="b">
        <v>0</v>
      </c>
      <c r="AL154" t="inlineStr">
        <is>
          <t>Unreviewed</t>
        </is>
      </c>
      <c r="AM154" t="inlineStr">
        <is>
          <t>Not Started</t>
        </is>
      </c>
      <c r="AN154" t="inlineStr">
        <is>
          <t>Not Started</t>
        </is>
      </c>
      <c r="AO154" t="inlineStr">
        <is>
          <t>Not Started</t>
        </is>
      </c>
      <c r="AP154" t="inlineStr">
        <is>
          <t>Not Started</t>
        </is>
      </c>
      <c r="AR154" t="inlineStr">
        <is>
          <t>v0.3-2026-06-29</t>
        </is>
      </c>
      <c r="AT154" s="3" t="n"/>
    </row>
    <row r="155">
      <c r="A155" t="inlineStr">
        <is>
          <t>C-0120</t>
        </is>
      </c>
      <c r="B155" t="inlineStr">
        <is>
          <t>Ametrine</t>
        </is>
      </c>
      <c r="D155" t="inlineStr">
        <is>
          <t>Quartz</t>
        </is>
      </c>
      <c r="E155" t="inlineStr">
        <is>
          <t>Quartz</t>
        </is>
      </c>
      <c r="F155" t="n">
        <v>2</v>
      </c>
      <c r="G155" t="n">
        <v>4</v>
      </c>
      <c r="H155" t="n">
        <v>120</v>
      </c>
      <c r="I155" t="n">
        <v>120</v>
      </c>
      <c r="J155" t="inlineStr">
        <is>
          <t>Amethyst</t>
        </is>
      </c>
      <c r="K155" t="inlineStr">
        <is>
          <t>amethyst</t>
        </is>
      </c>
      <c r="L155" t="inlineStr">
        <is>
          <t>Ammolite</t>
        </is>
      </c>
      <c r="M155" t="inlineStr">
        <is>
          <t>ammolite</t>
        </is>
      </c>
      <c r="N155" t="b">
        <v>0</v>
      </c>
      <c r="O155" t="inlineStr">
        <is>
          <t>ametrine</t>
        </is>
      </c>
      <c r="P155" t="inlineStr">
        <is>
          <t>Not Started</t>
        </is>
      </c>
      <c r="Q155" t="inlineStr">
        <is>
          <t>Solar Plexus</t>
        </is>
      </c>
      <c r="R155" t="inlineStr">
        <is>
          <t>Third Eye</t>
        </is>
      </c>
      <c r="S155" t="inlineStr">
        <is>
          <t>Solar Plexus</t>
        </is>
      </c>
      <c r="X155" t="inlineStr">
        <is>
          <t>Mineral</t>
        </is>
      </c>
      <c r="Z155" s="3" t="inlineStr">
        <is>
          <t>Purposeful decisions</t>
        </is>
      </c>
      <c r="AA155" s="3" t="inlineStr">
        <is>
          <t>Use when you understand your options but need the confidence and clarity to choose a direction and move forward.</t>
        </is>
      </c>
      <c r="AB155" s="3" t="n"/>
      <c r="AC155" t="inlineStr">
        <is>
          <t>Protection</t>
        </is>
      </c>
      <c r="AD155" t="inlineStr">
        <is>
          <t>Clarity &amp; Focus</t>
        </is>
      </c>
      <c r="AF155" t="inlineStr">
        <is>
          <t>["Balance","Clarity","Motivation"]</t>
        </is>
      </c>
      <c r="AK155" t="b">
        <v>0</v>
      </c>
      <c r="AL155" t="inlineStr">
        <is>
          <t>Unreviewed</t>
        </is>
      </c>
      <c r="AM155" t="inlineStr">
        <is>
          <t>Not Started</t>
        </is>
      </c>
      <c r="AN155" t="inlineStr">
        <is>
          <t>Not Started</t>
        </is>
      </c>
      <c r="AO155" t="inlineStr">
        <is>
          <t>Not Started</t>
        </is>
      </c>
      <c r="AP155" t="inlineStr">
        <is>
          <t>Not Started</t>
        </is>
      </c>
      <c r="AR155" t="inlineStr">
        <is>
          <t>v0.3-2026-06-29</t>
        </is>
      </c>
      <c r="AT155" s="3" t="n"/>
    </row>
    <row r="156">
      <c r="A156" t="inlineStr">
        <is>
          <t>C-0006</t>
        </is>
      </c>
      <c r="B156" t="inlineStr">
        <is>
          <t>Azurite</t>
        </is>
      </c>
      <c r="D156" t="inlineStr">
        <is>
          <t>Copper Minerals</t>
        </is>
      </c>
      <c r="E156" t="inlineStr">
        <is>
          <t>Azurite</t>
        </is>
      </c>
      <c r="F156" t="n">
        <v>2</v>
      </c>
      <c r="G156" t="n">
        <v>5</v>
      </c>
      <c r="H156" t="n">
        <v>6</v>
      </c>
      <c r="I156" t="n">
        <v>6</v>
      </c>
      <c r="J156" t="inlineStr">
        <is>
          <t>Axinite</t>
        </is>
      </c>
      <c r="K156" t="inlineStr">
        <is>
          <t>axinite</t>
        </is>
      </c>
      <c r="L156" t="inlineStr">
        <is>
          <t>Banded Carnelian</t>
        </is>
      </c>
      <c r="M156" t="inlineStr">
        <is>
          <t>banded-carnelian</t>
        </is>
      </c>
      <c r="N156" t="b">
        <v>0</v>
      </c>
      <c r="O156" t="inlineStr">
        <is>
          <t>azurite</t>
        </is>
      </c>
      <c r="P156" t="inlineStr">
        <is>
          <t>Not Started</t>
        </is>
      </c>
      <c r="Q156" t="inlineStr">
        <is>
          <t>Third Eye</t>
        </is>
      </c>
      <c r="R156" t="inlineStr">
        <is>
          <t>Crown</t>
        </is>
      </c>
      <c r="S156" t="inlineStr">
        <is>
          <t>Third Eye</t>
        </is>
      </c>
      <c r="X156" t="inlineStr">
        <is>
          <t>Mineral</t>
        </is>
      </c>
      <c r="Z156" s="3" t="inlineStr">
        <is>
          <t>Deep insight</t>
        </is>
      </c>
      <c r="AA156" s="3" t="inlineStr">
        <is>
          <t>Use when a situation feels confusing and you suspect an unexamined belief or pattern is shaping your interpretation.</t>
        </is>
      </c>
      <c r="AB156" s="3" t="n"/>
      <c r="AC156" t="inlineStr">
        <is>
          <t>Intuition</t>
        </is>
      </c>
      <c r="AD156" t="inlineStr">
        <is>
          <t>Clarity &amp; Focus</t>
        </is>
      </c>
      <c r="AF156" t="inlineStr">
        <is>
          <t>["Insight","Intuition","Clarity"]</t>
        </is>
      </c>
      <c r="AK156" t="b">
        <v>0</v>
      </c>
      <c r="AL156" t="inlineStr">
        <is>
          <t>Unreviewed</t>
        </is>
      </c>
      <c r="AM156" t="inlineStr">
        <is>
          <t>Not Started</t>
        </is>
      </c>
      <c r="AN156" t="inlineStr">
        <is>
          <t>Not Started</t>
        </is>
      </c>
      <c r="AO156" t="inlineStr">
        <is>
          <t>Not Started</t>
        </is>
      </c>
      <c r="AP156" t="inlineStr">
        <is>
          <t>Not Started</t>
        </is>
      </c>
      <c r="AR156" t="inlineStr">
        <is>
          <t>v0.3-2026-06-29</t>
        </is>
      </c>
      <c r="AT156" s="3" t="n"/>
    </row>
    <row r="157">
      <c r="A157" t="inlineStr">
        <is>
          <t>C-0150</t>
        </is>
      </c>
      <c r="B157" t="inlineStr">
        <is>
          <t>Black Amethyst</t>
        </is>
      </c>
      <c r="D157" t="inlineStr">
        <is>
          <t>Quartz</t>
        </is>
      </c>
      <c r="E157" t="inlineStr">
        <is>
          <t>Quartz</t>
        </is>
      </c>
      <c r="F157" t="n">
        <v>2</v>
      </c>
      <c r="G157" t="n">
        <v>5</v>
      </c>
      <c r="H157" t="n">
        <v>150</v>
      </c>
      <c r="I157" t="n">
        <v>150</v>
      </c>
      <c r="J157" t="inlineStr">
        <is>
          <t>Bismuth</t>
        </is>
      </c>
      <c r="K157" t="inlineStr">
        <is>
          <t>bismuth</t>
        </is>
      </c>
      <c r="L157" t="inlineStr">
        <is>
          <t>Black Chalcedony</t>
        </is>
      </c>
      <c r="M157" t="inlineStr">
        <is>
          <t>black-chalcedony</t>
        </is>
      </c>
      <c r="N157" t="b">
        <v>0</v>
      </c>
      <c r="O157" t="inlineStr">
        <is>
          <t>black-amethyst</t>
        </is>
      </c>
      <c r="P157" t="inlineStr">
        <is>
          <t>Not Started</t>
        </is>
      </c>
      <c r="Q157" t="inlineStr">
        <is>
          <t>Third Eye</t>
        </is>
      </c>
      <c r="R157" t="inlineStr">
        <is>
          <t>Crown</t>
        </is>
      </c>
      <c r="S157" t="inlineStr">
        <is>
          <t>Third Eye</t>
        </is>
      </c>
      <c r="X157" t="inlineStr">
        <is>
          <t>Mineral</t>
        </is>
      </c>
      <c r="Z157" s="3" t="inlineStr">
        <is>
          <t>Grounded intuition</t>
        </is>
      </c>
      <c r="AA157" s="3" t="inlineStr">
        <is>
          <t>Use when you want to trust your instincts while staying anchored in reality and protected from outside emotional noise.</t>
        </is>
      </c>
      <c r="AB157" s="3" t="n"/>
      <c r="AC157" t="inlineStr">
        <is>
          <t>Protection</t>
        </is>
      </c>
      <c r="AD157" t="inlineStr">
        <is>
          <t>Spiritual Connection</t>
        </is>
      </c>
      <c r="AF157" t="inlineStr">
        <is>
          <t>["Protection","Grounding","Intuition"]</t>
        </is>
      </c>
      <c r="AK157" t="b">
        <v>0</v>
      </c>
      <c r="AL157" t="inlineStr">
        <is>
          <t>Unreviewed</t>
        </is>
      </c>
      <c r="AM157" t="inlineStr">
        <is>
          <t>Not Started</t>
        </is>
      </c>
      <c r="AN157" t="inlineStr">
        <is>
          <t>Not Started</t>
        </is>
      </c>
      <c r="AO157" t="inlineStr">
        <is>
          <t>Not Started</t>
        </is>
      </c>
      <c r="AP157" t="inlineStr">
        <is>
          <t>Not Started</t>
        </is>
      </c>
      <c r="AR157" t="inlineStr">
        <is>
          <t>v0.3-2026-06-29</t>
        </is>
      </c>
      <c r="AT157" s="3" t="n"/>
    </row>
    <row r="158">
      <c r="A158" t="inlineStr">
        <is>
          <t>C-0008</t>
        </is>
      </c>
      <c r="B158" t="inlineStr">
        <is>
          <t>Bumblebee Jasper</t>
        </is>
      </c>
      <c r="D158" t="inlineStr">
        <is>
          <t>Calcite</t>
        </is>
      </c>
      <c r="E158" t="inlineStr">
        <is>
          <t>Calcite</t>
        </is>
      </c>
      <c r="F158" t="n">
        <v>2</v>
      </c>
      <c r="G158" t="n">
        <v>6</v>
      </c>
      <c r="H158" t="n">
        <v>8</v>
      </c>
      <c r="I158" t="n">
        <v>8</v>
      </c>
      <c r="J158" t="inlineStr">
        <is>
          <t>Buddstone</t>
        </is>
      </c>
      <c r="K158" t="inlineStr">
        <is>
          <t>buddstone</t>
        </is>
      </c>
      <c r="L158" t="inlineStr">
        <is>
          <t>Bustamite</t>
        </is>
      </c>
      <c r="M158" t="inlineStr">
        <is>
          <t>bustamite</t>
        </is>
      </c>
      <c r="N158" t="b">
        <v>0</v>
      </c>
      <c r="O158" t="inlineStr">
        <is>
          <t>bumblebee-jasper</t>
        </is>
      </c>
      <c r="P158" t="inlineStr">
        <is>
          <t>Not Started</t>
        </is>
      </c>
      <c r="Q158" t="inlineStr">
        <is>
          <t>Solar Plexus</t>
        </is>
      </c>
      <c r="R158" t="inlineStr">
        <is>
          <t>Sacral</t>
        </is>
      </c>
      <c r="S158" t="inlineStr">
        <is>
          <t>Solar Plexus</t>
        </is>
      </c>
      <c r="X158" t="inlineStr">
        <is>
          <t>Rock</t>
        </is>
      </c>
      <c r="Z158" s="3" t="inlineStr">
        <is>
          <t>Bold action</t>
        </is>
      </c>
      <c r="AA158" s="3" t="inlineStr">
        <is>
          <t>Use when fear of making the wrong move is keeping you from taking any meaningful action at all.</t>
        </is>
      </c>
      <c r="AB158" s="3" t="n"/>
      <c r="AC158" t="inlineStr">
        <is>
          <t>Joy</t>
        </is>
      </c>
      <c r="AD158" t="inlineStr">
        <is>
          <t>Vitality</t>
        </is>
      </c>
      <c r="AE158" t="inlineStr">
        <is>
          <t>Confidence</t>
        </is>
      </c>
      <c r="AF158" t="inlineStr">
        <is>
          <t>["Confidence","Motivation","Courage"]</t>
        </is>
      </c>
      <c r="AK158" t="b">
        <v>0</v>
      </c>
      <c r="AL158" t="inlineStr">
        <is>
          <t>Unreviewed</t>
        </is>
      </c>
      <c r="AM158" t="inlineStr">
        <is>
          <t>Not Started</t>
        </is>
      </c>
      <c r="AN158" t="inlineStr">
        <is>
          <t>Not Started</t>
        </is>
      </c>
      <c r="AO158" t="inlineStr">
        <is>
          <t>Not Started</t>
        </is>
      </c>
      <c r="AP158" t="inlineStr">
        <is>
          <t>Not Started</t>
        </is>
      </c>
      <c r="AR158" t="inlineStr">
        <is>
          <t>v0.3-2026-06-29</t>
        </is>
      </c>
      <c r="AT158" s="3" t="n"/>
    </row>
    <row r="159">
      <c r="A159" t="inlineStr">
        <is>
          <t>C-0249</t>
        </is>
      </c>
      <c r="B159" t="inlineStr">
        <is>
          <t>Charoite</t>
        </is>
      </c>
      <c r="D159" t="inlineStr">
        <is>
          <t>Silicates</t>
        </is>
      </c>
      <c r="E159" t="inlineStr">
        <is>
          <t>Charoite</t>
        </is>
      </c>
      <c r="F159" t="n">
        <v>2</v>
      </c>
      <c r="G159" t="n">
        <v>7</v>
      </c>
      <c r="H159" t="n">
        <v>249</v>
      </c>
      <c r="I159" t="n">
        <v>249</v>
      </c>
      <c r="J159" t="inlineStr">
        <is>
          <t>Chalcopyrite</t>
        </is>
      </c>
      <c r="K159" t="inlineStr">
        <is>
          <t>chalcopyrite</t>
        </is>
      </c>
      <c r="L159" t="inlineStr">
        <is>
          <t>Chevron Amethyst</t>
        </is>
      </c>
      <c r="M159" t="inlineStr">
        <is>
          <t>chevron-amethyst</t>
        </is>
      </c>
      <c r="N159" t="b">
        <v>0</v>
      </c>
      <c r="O159" t="inlineStr">
        <is>
          <t>charoite</t>
        </is>
      </c>
      <c r="P159" t="inlineStr">
        <is>
          <t>Not Started</t>
        </is>
      </c>
      <c r="Q159" t="inlineStr">
        <is>
          <t>Crown</t>
        </is>
      </c>
      <c r="R159" t="inlineStr">
        <is>
          <t>Third Eye</t>
        </is>
      </c>
      <c r="S159" t="inlineStr">
        <is>
          <t>Crown</t>
        </is>
      </c>
      <c r="X159" t="inlineStr">
        <is>
          <t>Mineral</t>
        </is>
      </c>
      <c r="Z159" s="3" t="inlineStr">
        <is>
          <t>Transformational courage</t>
        </is>
      </c>
      <c r="AA159" s="3" t="inlineStr">
        <is>
          <t>Use when a major life change is asking you to release an old identity before the new one feels fully formed.</t>
        </is>
      </c>
      <c r="AB159" s="3" t="n"/>
      <c r="AC159" t="inlineStr">
        <is>
          <t>Confidence</t>
        </is>
      </c>
      <c r="AD159" t="inlineStr">
        <is>
          <t>Transformation</t>
        </is>
      </c>
      <c r="AF159" t="inlineStr">
        <is>
          <t>["Transformation","Courage","Insight"]</t>
        </is>
      </c>
      <c r="AK159" t="b">
        <v>0</v>
      </c>
      <c r="AL159" t="inlineStr">
        <is>
          <t>Unreviewed</t>
        </is>
      </c>
      <c r="AM159" t="inlineStr">
        <is>
          <t>Not Started</t>
        </is>
      </c>
      <c r="AN159" t="inlineStr">
        <is>
          <t>Not Started</t>
        </is>
      </c>
      <c r="AO159" t="inlineStr">
        <is>
          <t>Not Started</t>
        </is>
      </c>
      <c r="AP159" t="inlineStr">
        <is>
          <t>Not Started</t>
        </is>
      </c>
      <c r="AR159" t="inlineStr">
        <is>
          <t>v0.3-2026-06-29</t>
        </is>
      </c>
      <c r="AT159" s="3" t="n"/>
    </row>
    <row r="160">
      <c r="A160" t="inlineStr">
        <is>
          <t>C-0037</t>
        </is>
      </c>
      <c r="B160" t="inlineStr">
        <is>
          <t>Copper</t>
        </is>
      </c>
      <c r="C160" t="inlineStr">
        <is>
          <t>Native Copper</t>
        </is>
      </c>
      <c r="D160" t="inlineStr">
        <is>
          <t>Other Mineral</t>
        </is>
      </c>
      <c r="E160" t="inlineStr">
        <is>
          <t>Copper</t>
        </is>
      </c>
      <c r="F160" t="n">
        <v>2</v>
      </c>
      <c r="G160" t="n">
        <v>7</v>
      </c>
      <c r="H160" t="n">
        <v>37</v>
      </c>
      <c r="I160" t="n">
        <v>37</v>
      </c>
      <c r="J160" t="inlineStr">
        <is>
          <t>Cobaltoan Calcite</t>
        </is>
      </c>
      <c r="K160" t="inlineStr">
        <is>
          <t>cobaltoan-calcite</t>
        </is>
      </c>
      <c r="L160" t="inlineStr">
        <is>
          <t>Covellite</t>
        </is>
      </c>
      <c r="M160" t="inlineStr">
        <is>
          <t>covellite</t>
        </is>
      </c>
      <c r="N160" t="b">
        <v>0</v>
      </c>
      <c r="O160" t="inlineStr">
        <is>
          <t>copper</t>
        </is>
      </c>
      <c r="P160" t="inlineStr">
        <is>
          <t>Not Started</t>
        </is>
      </c>
      <c r="Q160" t="inlineStr">
        <is>
          <t>Sacral</t>
        </is>
      </c>
      <c r="R160" t="inlineStr">
        <is>
          <t>Root</t>
        </is>
      </c>
      <c r="S160" t="inlineStr">
        <is>
          <t>Sacral</t>
        </is>
      </c>
      <c r="X160" t="inlineStr">
        <is>
          <t>Mineral</t>
        </is>
      </c>
      <c r="Z160" s="3" t="inlineStr">
        <is>
          <t>Energizing action</t>
        </is>
      </c>
      <c r="AA160" s="3" t="inlineStr">
        <is>
          <t>Use when your energy feels available but scattered and you need to direct it toward one clear task or intention.</t>
        </is>
      </c>
      <c r="AB160" s="3" t="n"/>
      <c r="AC160" t="inlineStr">
        <is>
          <t>Vitality</t>
        </is>
      </c>
      <c r="AD160" t="inlineStr">
        <is>
          <t>Amplification</t>
        </is>
      </c>
      <c r="AF160" t="inlineStr">
        <is>
          <t>["Energy","Amplification","Flow"]</t>
        </is>
      </c>
      <c r="AK160" t="b">
        <v>0</v>
      </c>
      <c r="AL160" t="inlineStr">
        <is>
          <t>Unreviewed</t>
        </is>
      </c>
      <c r="AM160" t="inlineStr">
        <is>
          <t>Not Started</t>
        </is>
      </c>
      <c r="AN160" t="inlineStr">
        <is>
          <t>Not Started</t>
        </is>
      </c>
      <c r="AO160" t="inlineStr">
        <is>
          <t>Not Started</t>
        </is>
      </c>
      <c r="AP160" t="inlineStr">
        <is>
          <t>Not Started</t>
        </is>
      </c>
      <c r="AR160" t="inlineStr">
        <is>
          <t>v0.3-2026-06-29</t>
        </is>
      </c>
      <c r="AT160" s="3" t="n"/>
    </row>
    <row r="161">
      <c r="A161" t="inlineStr">
        <is>
          <t>C-0074</t>
        </is>
      </c>
      <c r="B161" t="inlineStr">
        <is>
          <t>Fire Agate</t>
        </is>
      </c>
      <c r="D161" t="inlineStr">
        <is>
          <t>Quartz</t>
        </is>
      </c>
      <c r="E161" t="inlineStr">
        <is>
          <t>Quartz</t>
        </is>
      </c>
      <c r="F161" t="n">
        <v>2</v>
      </c>
      <c r="G161" t="n">
        <v>8</v>
      </c>
      <c r="H161" t="n">
        <v>74</v>
      </c>
      <c r="I161" t="n">
        <v>74</v>
      </c>
      <c r="J161" t="inlineStr">
        <is>
          <t>Fancy Jasper</t>
        </is>
      </c>
      <c r="K161" t="inlineStr">
        <is>
          <t>fancy-jasper</t>
        </is>
      </c>
      <c r="L161" t="inlineStr">
        <is>
          <t>Fire Opal</t>
        </is>
      </c>
      <c r="M161" t="inlineStr">
        <is>
          <t>fire-opal</t>
        </is>
      </c>
      <c r="N161" t="b">
        <v>0</v>
      </c>
      <c r="O161" t="inlineStr">
        <is>
          <t>fire-agate</t>
        </is>
      </c>
      <c r="P161" t="inlineStr">
        <is>
          <t>Not Started</t>
        </is>
      </c>
      <c r="Q161" t="inlineStr">
        <is>
          <t>Root</t>
        </is>
      </c>
      <c r="S161" t="inlineStr">
        <is>
          <t>Root</t>
        </is>
      </c>
      <c r="X161" t="inlineStr">
        <is>
          <t>Mineral</t>
        </is>
      </c>
      <c r="Z161" s="3" t="inlineStr">
        <is>
          <t>Protected courage</t>
        </is>
      </c>
      <c r="AA161" s="3" t="inlineStr">
        <is>
          <t>Use when you need to take a risk but want confidence rooted in preparation rather than impulse.</t>
        </is>
      </c>
      <c r="AB161" s="3" t="n"/>
      <c r="AC161" t="inlineStr">
        <is>
          <t>Vitality</t>
        </is>
      </c>
      <c r="AD161" t="inlineStr">
        <is>
          <t>Confidence</t>
        </is>
      </c>
      <c r="AE161" t="inlineStr">
        <is>
          <t>Protection</t>
        </is>
      </c>
      <c r="AF161" t="inlineStr">
        <is>
          <t>["Courage","Protection","Confidence"]</t>
        </is>
      </c>
      <c r="AK161" t="b">
        <v>0</v>
      </c>
      <c r="AL161" t="inlineStr">
        <is>
          <t>Unreviewed</t>
        </is>
      </c>
      <c r="AM161" t="inlineStr">
        <is>
          <t>Not Started</t>
        </is>
      </c>
      <c r="AN161" t="inlineStr">
        <is>
          <t>Not Started</t>
        </is>
      </c>
      <c r="AO161" t="inlineStr">
        <is>
          <t>Not Started</t>
        </is>
      </c>
      <c r="AP161" t="inlineStr">
        <is>
          <t>Not Started</t>
        </is>
      </c>
      <c r="AR161" t="inlineStr">
        <is>
          <t>v0.3-2026-06-29</t>
        </is>
      </c>
      <c r="AT161" s="3" t="n"/>
    </row>
    <row r="162">
      <c r="A162" t="inlineStr">
        <is>
          <t>C-0122</t>
        </is>
      </c>
      <c r="B162" t="inlineStr">
        <is>
          <t>Golden Healer Quartz</t>
        </is>
      </c>
      <c r="D162" t="inlineStr">
        <is>
          <t>Quartz</t>
        </is>
      </c>
      <c r="E162" t="inlineStr">
        <is>
          <t>Quartz</t>
        </is>
      </c>
      <c r="F162" t="n">
        <v>2</v>
      </c>
      <c r="G162" t="n">
        <v>8</v>
      </c>
      <c r="H162" t="n">
        <v>122</v>
      </c>
      <c r="I162" t="n">
        <v>122</v>
      </c>
      <c r="J162" t="inlineStr">
        <is>
          <t>Tiger's Eye</t>
        </is>
      </c>
      <c r="K162" t="inlineStr">
        <is>
          <t>tigers-eye</t>
        </is>
      </c>
      <c r="L162" t="inlineStr">
        <is>
          <t>Golden Labradorite</t>
        </is>
      </c>
      <c r="M162" t="inlineStr">
        <is>
          <t>golden-labradorite</t>
        </is>
      </c>
      <c r="N162" t="b">
        <v>0</v>
      </c>
      <c r="O162" t="inlineStr">
        <is>
          <t>golden-healer-quartz</t>
        </is>
      </c>
      <c r="P162" t="inlineStr">
        <is>
          <t>Not Started</t>
        </is>
      </c>
      <c r="Q162" t="inlineStr">
        <is>
          <t>Solar Plexus</t>
        </is>
      </c>
      <c r="R162" t="inlineStr">
        <is>
          <t>Crown</t>
        </is>
      </c>
      <c r="S162" t="inlineStr">
        <is>
          <t>Solar Plexus</t>
        </is>
      </c>
      <c r="X162" t="inlineStr">
        <is>
          <t>Mineral</t>
        </is>
      </c>
      <c r="Z162" s="3" t="inlineStr">
        <is>
          <t>Restorative energy</t>
        </is>
      </c>
      <c r="AA162" s="3" t="inlineStr">
        <is>
          <t>Use when you feel worn down and need encouragement that supports recovery without demanding immediate productivity.</t>
        </is>
      </c>
      <c r="AB162" s="3" t="n"/>
      <c r="AC162" t="inlineStr">
        <is>
          <t>Confidence</t>
        </is>
      </c>
      <c r="AF162" t="inlineStr">
        <is>
          <t>["Healing","Renewal","Vitality"]</t>
        </is>
      </c>
      <c r="AK162" t="b">
        <v>0</v>
      </c>
      <c r="AL162" t="inlineStr">
        <is>
          <t>Unreviewed</t>
        </is>
      </c>
      <c r="AM162" t="inlineStr">
        <is>
          <t>Not Started</t>
        </is>
      </c>
      <c r="AN162" t="inlineStr">
        <is>
          <t>Not Started</t>
        </is>
      </c>
      <c r="AO162" t="inlineStr">
        <is>
          <t>Not Started</t>
        </is>
      </c>
      <c r="AP162" t="inlineStr">
        <is>
          <t>Not Started</t>
        </is>
      </c>
      <c r="AR162" t="inlineStr">
        <is>
          <t>v0.3-2026-06-29</t>
        </is>
      </c>
      <c r="AT162" s="3" t="n"/>
    </row>
    <row r="163">
      <c r="A163" t="inlineStr">
        <is>
          <t>C-0076</t>
        </is>
      </c>
      <c r="B163" t="inlineStr">
        <is>
          <t>Grape Agate</t>
        </is>
      </c>
      <c r="D163" t="inlineStr">
        <is>
          <t>Quartz</t>
        </is>
      </c>
      <c r="E163" t="inlineStr">
        <is>
          <t>Quartz</t>
        </is>
      </c>
      <c r="F163" t="n">
        <v>2</v>
      </c>
      <c r="G163" t="n">
        <v>9</v>
      </c>
      <c r="H163" t="n">
        <v>76</v>
      </c>
      <c r="I163" t="n">
        <v>76</v>
      </c>
      <c r="J163" t="inlineStr">
        <is>
          <t>Goshenite</t>
        </is>
      </c>
      <c r="K163" t="inlineStr">
        <is>
          <t>goshenite</t>
        </is>
      </c>
      <c r="L163" t="inlineStr">
        <is>
          <t>Green Apatite</t>
        </is>
      </c>
      <c r="M163" t="inlineStr">
        <is>
          <t>green-apatite</t>
        </is>
      </c>
      <c r="N163" t="b">
        <v>0</v>
      </c>
      <c r="O163" t="inlineStr">
        <is>
          <t>grape-agate</t>
        </is>
      </c>
      <c r="P163" t="inlineStr">
        <is>
          <t>Not Started</t>
        </is>
      </c>
      <c r="Q163" t="inlineStr">
        <is>
          <t>Third Eye</t>
        </is>
      </c>
      <c r="R163" t="inlineStr">
        <is>
          <t>Crown</t>
        </is>
      </c>
      <c r="S163" t="inlineStr">
        <is>
          <t>Third Eye</t>
        </is>
      </c>
      <c r="X163" t="inlineStr">
        <is>
          <t>Mineral</t>
        </is>
      </c>
      <c r="Z163" s="3" t="inlineStr">
        <is>
          <t>Gentle perspective</t>
        </is>
      </c>
      <c r="AA163" s="3" t="inlineStr">
        <is>
          <t>Use when you are emotionally caught inside a situation and need enough distance to see it more clearly.</t>
        </is>
      </c>
      <c r="AB163" s="3" t="n"/>
      <c r="AC163" t="inlineStr">
        <is>
          <t>Intuition</t>
        </is>
      </c>
      <c r="AD163" t="inlineStr">
        <is>
          <t>Spiritual Connection</t>
        </is>
      </c>
      <c r="AF163" t="inlineStr">
        <is>
          <t>["Intuition","Calm","Insight"]</t>
        </is>
      </c>
      <c r="AK163" t="b">
        <v>0</v>
      </c>
      <c r="AL163" t="inlineStr">
        <is>
          <t>Unreviewed</t>
        </is>
      </c>
      <c r="AM163" t="inlineStr">
        <is>
          <t>Not Started</t>
        </is>
      </c>
      <c r="AN163" t="inlineStr">
        <is>
          <t>Not Started</t>
        </is>
      </c>
      <c r="AO163" t="inlineStr">
        <is>
          <t>Not Started</t>
        </is>
      </c>
      <c r="AP163" t="inlineStr">
        <is>
          <t>Not Started</t>
        </is>
      </c>
      <c r="AR163" t="inlineStr">
        <is>
          <t>v0.3-2026-06-29</t>
        </is>
      </c>
      <c r="AT163" s="3" t="n"/>
    </row>
    <row r="164">
      <c r="A164" t="inlineStr">
        <is>
          <t>C-0050</t>
        </is>
      </c>
      <c r="B164" t="inlineStr">
        <is>
          <t>Infinite</t>
        </is>
      </c>
      <c r="C164" t="inlineStr">
        <is>
          <t>Lemon Serpentine</t>
        </is>
      </c>
      <c r="D164" t="inlineStr">
        <is>
          <t>Serpentine</t>
        </is>
      </c>
      <c r="E164" t="inlineStr">
        <is>
          <t>Lizardite</t>
        </is>
      </c>
      <c r="F164" t="n">
        <v>2</v>
      </c>
      <c r="G164" t="n">
        <v>9</v>
      </c>
      <c r="H164" t="n">
        <v>50</v>
      </c>
      <c r="I164" t="n">
        <v>50</v>
      </c>
      <c r="J164" t="inlineStr">
        <is>
          <t>Indigo Gabbro</t>
        </is>
      </c>
      <c r="K164" t="inlineStr">
        <is>
          <t>indigo-gabbro</t>
        </is>
      </c>
      <c r="L164" t="inlineStr">
        <is>
          <t>Iolite</t>
        </is>
      </c>
      <c r="M164" t="inlineStr">
        <is>
          <t>iolite</t>
        </is>
      </c>
      <c r="N164" t="b">
        <v>0</v>
      </c>
      <c r="O164" t="inlineStr">
        <is>
          <t>infinite</t>
        </is>
      </c>
      <c r="P164" t="inlineStr">
        <is>
          <t>Not Started</t>
        </is>
      </c>
      <c r="Q164" t="inlineStr">
        <is>
          <t>Heart</t>
        </is>
      </c>
      <c r="S164" t="inlineStr">
        <is>
          <t>Heart</t>
        </is>
      </c>
      <c r="X164" t="inlineStr">
        <is>
          <t>Mineral</t>
        </is>
      </c>
      <c r="Z164" s="3" t="inlineStr">
        <is>
          <t>Staying flexible through prolonged pressure</t>
        </is>
      </c>
      <c r="AA164" s="3" t="inlineStr">
        <is>
          <t>Use when ongoing stress is making you rigid, reactive, or unable to adjust to changing demands.</t>
        </is>
      </c>
      <c r="AB164" s="3" t="n"/>
      <c r="AC164" t="inlineStr">
        <is>
          <t>Heart Healing</t>
        </is>
      </c>
      <c r="AD164" t="inlineStr">
        <is>
          <t>Calm &amp; Peace</t>
        </is>
      </c>
      <c r="AF164" t="inlineStr">
        <is>
          <t>["Calm","Resilience","Adaptability"]</t>
        </is>
      </c>
      <c r="AK164" t="b">
        <v>0</v>
      </c>
      <c r="AL164" t="inlineStr">
        <is>
          <t>Unreviewed</t>
        </is>
      </c>
      <c r="AM164" t="inlineStr">
        <is>
          <t>Not Started</t>
        </is>
      </c>
      <c r="AN164" t="inlineStr">
        <is>
          <t>Not Started</t>
        </is>
      </c>
      <c r="AO164" t="inlineStr">
        <is>
          <t>Not Started</t>
        </is>
      </c>
      <c r="AP164" t="inlineStr">
        <is>
          <t>Not Started</t>
        </is>
      </c>
      <c r="AR164" t="inlineStr">
        <is>
          <t>v0.3-2026-06-29</t>
        </is>
      </c>
      <c r="AT164" s="3" t="n"/>
    </row>
    <row r="165">
      <c r="A165" t="inlineStr">
        <is>
          <t>C-0059</t>
        </is>
      </c>
      <c r="B165" t="inlineStr">
        <is>
          <t>K2 Jasper</t>
        </is>
      </c>
      <c r="D165" t="inlineStr">
        <is>
          <t>Other Mineral</t>
        </is>
      </c>
      <c r="E165" t="inlineStr">
        <is>
          <t>Granite</t>
        </is>
      </c>
      <c r="F165" t="n">
        <v>2</v>
      </c>
      <c r="G165" t="n">
        <v>10</v>
      </c>
      <c r="H165" t="n">
        <v>59</v>
      </c>
      <c r="I165" t="n">
        <v>59</v>
      </c>
      <c r="J165" t="inlineStr">
        <is>
          <t>Jet</t>
        </is>
      </c>
      <c r="K165" t="inlineStr">
        <is>
          <t>jet</t>
        </is>
      </c>
      <c r="L165" t="inlineStr">
        <is>
          <t>Kambaba Jasper</t>
        </is>
      </c>
      <c r="M165" t="inlineStr">
        <is>
          <t>kambaba-jasper</t>
        </is>
      </c>
      <c r="N165" t="b">
        <v>0</v>
      </c>
      <c r="O165" t="inlineStr">
        <is>
          <t>k2-jasper</t>
        </is>
      </c>
      <c r="P165" t="inlineStr">
        <is>
          <t>Not Started</t>
        </is>
      </c>
      <c r="Q165" t="inlineStr">
        <is>
          <t>Third Eye</t>
        </is>
      </c>
      <c r="S165" t="inlineStr">
        <is>
          <t>Third Eye</t>
        </is>
      </c>
      <c r="X165" t="inlineStr">
        <is>
          <t>Rock</t>
        </is>
      </c>
      <c r="Z165" s="3" t="inlineStr">
        <is>
          <t>Grounded vision</t>
        </is>
      </c>
      <c r="AA165" s="3" t="inlineStr">
        <is>
          <t>Use when you have a large vision and need to determine which part can realistically be built first.</t>
        </is>
      </c>
      <c r="AB165" s="3" t="n"/>
      <c r="AC165" t="inlineStr">
        <is>
          <t>Spiritual Connection</t>
        </is>
      </c>
      <c r="AD165" t="inlineStr">
        <is>
          <t>Grounding</t>
        </is>
      </c>
      <c r="AE165" t="inlineStr">
        <is>
          <t>Intuition</t>
        </is>
      </c>
      <c r="AF165" t="inlineStr">
        <is>
          <t>["Intuition","Grounding","Purpose"]</t>
        </is>
      </c>
      <c r="AK165" t="b">
        <v>0</v>
      </c>
      <c r="AL165" t="inlineStr">
        <is>
          <t>Unreviewed</t>
        </is>
      </c>
      <c r="AM165" t="inlineStr">
        <is>
          <t>Not Started</t>
        </is>
      </c>
      <c r="AN165" t="inlineStr">
        <is>
          <t>Not Started</t>
        </is>
      </c>
      <c r="AO165" t="inlineStr">
        <is>
          <t>Not Started</t>
        </is>
      </c>
      <c r="AP165" t="inlineStr">
        <is>
          <t>Not Started</t>
        </is>
      </c>
      <c r="AR165" t="inlineStr">
        <is>
          <t>v0.3-2026-06-29</t>
        </is>
      </c>
      <c r="AT165" s="3" t="n"/>
    </row>
    <row r="166">
      <c r="A166" t="inlineStr">
        <is>
          <t>C-0253</t>
        </is>
      </c>
      <c r="B166" t="inlineStr">
        <is>
          <t>Larimar</t>
        </is>
      </c>
      <c r="C166" t="inlineStr">
        <is>
          <t>Blue Pectolite</t>
        </is>
      </c>
      <c r="D166" t="inlineStr">
        <is>
          <t>Silicates</t>
        </is>
      </c>
      <c r="E166" t="inlineStr">
        <is>
          <t>Pectolite</t>
        </is>
      </c>
      <c r="F166" t="n">
        <v>2</v>
      </c>
      <c r="G166" t="n">
        <v>10</v>
      </c>
      <c r="H166" t="n">
        <v>253</v>
      </c>
      <c r="I166" t="n">
        <v>253</v>
      </c>
      <c r="J166" t="inlineStr">
        <is>
          <t>Lapis Lazuli</t>
        </is>
      </c>
      <c r="K166" t="inlineStr">
        <is>
          <t>lapis-lazuli</t>
        </is>
      </c>
      <c r="L166" t="inlineStr">
        <is>
          <t>Larvikite</t>
        </is>
      </c>
      <c r="M166" t="inlineStr">
        <is>
          <t>larvikite</t>
        </is>
      </c>
      <c r="N166" t="b">
        <v>0</v>
      </c>
      <c r="O166" t="inlineStr">
        <is>
          <t>larimar</t>
        </is>
      </c>
      <c r="P166" t="inlineStr">
        <is>
          <t>Not Started</t>
        </is>
      </c>
      <c r="Q166" t="inlineStr">
        <is>
          <t>Throat</t>
        </is>
      </c>
      <c r="R166" t="inlineStr">
        <is>
          <t>Third Eye</t>
        </is>
      </c>
      <c r="S166" t="inlineStr">
        <is>
          <t>Throat</t>
        </is>
      </c>
      <c r="X166" t="inlineStr">
        <is>
          <t>Mineral</t>
        </is>
      </c>
      <c r="Z166" s="3" t="inlineStr">
        <is>
          <t>Honest, compassionate conversations</t>
        </is>
      </c>
      <c r="AA166" s="3" t="inlineStr">
        <is>
          <t>Use when you need to discuss something sensitive and want your words to remain both honest and kind.</t>
        </is>
      </c>
      <c r="AB166" s="3" t="n"/>
      <c r="AC166" t="inlineStr">
        <is>
          <t>Calm &amp; Peace</t>
        </is>
      </c>
      <c r="AD166" t="inlineStr">
        <is>
          <t>Communication</t>
        </is>
      </c>
      <c r="AF166" t="inlineStr">
        <is>
          <t>["Communication","Calm","Compassion"]</t>
        </is>
      </c>
      <c r="AK166" t="b">
        <v>0</v>
      </c>
      <c r="AL166" t="inlineStr">
        <is>
          <t>Unreviewed</t>
        </is>
      </c>
      <c r="AM166" t="inlineStr">
        <is>
          <t>Not Started</t>
        </is>
      </c>
      <c r="AN166" t="inlineStr">
        <is>
          <t>Not Started</t>
        </is>
      </c>
      <c r="AO166" t="inlineStr">
        <is>
          <t>Not Started</t>
        </is>
      </c>
      <c r="AP166" t="inlineStr">
        <is>
          <t>Not Started</t>
        </is>
      </c>
      <c r="AR166" t="inlineStr">
        <is>
          <t>v0.3-2026-06-29</t>
        </is>
      </c>
      <c r="AT166" s="3" t="n"/>
    </row>
    <row r="167">
      <c r="A167" t="inlineStr">
        <is>
          <t>C-0024</t>
        </is>
      </c>
      <c r="B167" t="inlineStr">
        <is>
          <t>Morganite</t>
        </is>
      </c>
      <c r="C167" t="inlineStr">
        <is>
          <t>Pink Beryl</t>
        </is>
      </c>
      <c r="D167" t="inlineStr">
        <is>
          <t>Beryl</t>
        </is>
      </c>
      <c r="E167" t="inlineStr">
        <is>
          <t>Beryl</t>
        </is>
      </c>
      <c r="F167" t="n">
        <v>2</v>
      </c>
      <c r="G167" t="n">
        <v>11</v>
      </c>
      <c r="H167" t="n">
        <v>24</v>
      </c>
      <c r="I167" t="n">
        <v>24</v>
      </c>
      <c r="J167" t="inlineStr">
        <is>
          <t>Moonstone</t>
        </is>
      </c>
      <c r="K167" t="inlineStr">
        <is>
          <t>moonstone</t>
        </is>
      </c>
      <c r="L167" t="inlineStr">
        <is>
          <t>Moss Agate</t>
        </is>
      </c>
      <c r="M167" t="inlineStr">
        <is>
          <t>moss-agate</t>
        </is>
      </c>
      <c r="N167" t="b">
        <v>0</v>
      </c>
      <c r="O167" t="inlineStr">
        <is>
          <t>morganite</t>
        </is>
      </c>
      <c r="P167" t="inlineStr">
        <is>
          <t>Not Started</t>
        </is>
      </c>
      <c r="Q167" t="inlineStr">
        <is>
          <t>Heart</t>
        </is>
      </c>
      <c r="S167" t="inlineStr">
        <is>
          <t>Heart</t>
        </is>
      </c>
      <c r="X167" t="inlineStr">
        <is>
          <t>Mineral</t>
        </is>
      </c>
      <c r="Z167" s="3" t="inlineStr">
        <is>
          <t>Gentle trust</t>
        </is>
      </c>
      <c r="AA167" s="3" t="inlineStr">
        <is>
          <t>Use when you want to remain open to affection or connection but feel tempted to rush, test, or overanalyze it.</t>
        </is>
      </c>
      <c r="AB167" s="3" t="n"/>
      <c r="AC167" t="inlineStr">
        <is>
          <t>Heart Healing</t>
        </is>
      </c>
      <c r="AD167" t="inlineStr">
        <is>
          <t>Self-Love</t>
        </is>
      </c>
      <c r="AF167" t="inlineStr">
        <is>
          <t>["Love","Trust","Compassion"]</t>
        </is>
      </c>
      <c r="AK167" t="b">
        <v>0</v>
      </c>
      <c r="AL167" t="inlineStr">
        <is>
          <t>Unreviewed</t>
        </is>
      </c>
      <c r="AM167" t="inlineStr">
        <is>
          <t>Not Started</t>
        </is>
      </c>
      <c r="AN167" t="inlineStr">
        <is>
          <t>Not Started</t>
        </is>
      </c>
      <c r="AO167" t="inlineStr">
        <is>
          <t>Not Started</t>
        </is>
      </c>
      <c r="AP167" t="inlineStr">
        <is>
          <t>Not Started</t>
        </is>
      </c>
      <c r="AR167" t="inlineStr">
        <is>
          <t>v0.3-2026-06-29</t>
        </is>
      </c>
      <c r="AT167" s="3" t="n"/>
    </row>
    <row r="168">
      <c r="A168" t="inlineStr">
        <is>
          <t>C-0397</t>
        </is>
      </c>
      <c r="B168" t="inlineStr">
        <is>
          <t>Phoenix Stone</t>
        </is>
      </c>
      <c r="C168" t="inlineStr">
        <is>
          <t>Phoenix Rising Stone</t>
        </is>
      </c>
      <c r="D168" t="inlineStr">
        <is>
          <t>Copper Mineral Composites</t>
        </is>
      </c>
      <c r="E168" t="inlineStr">
        <is>
          <t>Chrysocolla-rich copper mineral material</t>
        </is>
      </c>
      <c r="F168" t="n">
        <v>2</v>
      </c>
      <c r="G168" t="n">
        <v>12</v>
      </c>
      <c r="H168" t="n">
        <v>397</v>
      </c>
      <c r="I168" t="n">
        <v>397</v>
      </c>
      <c r="J168" t="inlineStr">
        <is>
          <t>Phenakite</t>
        </is>
      </c>
      <c r="K168" t="inlineStr">
        <is>
          <t>phenakite</t>
        </is>
      </c>
      <c r="L168" t="inlineStr">
        <is>
          <t>Phosphosiderite</t>
        </is>
      </c>
      <c r="M168" t="inlineStr">
        <is>
          <t>phosphosiderite</t>
        </is>
      </c>
      <c r="N168" t="b">
        <v>0</v>
      </c>
      <c r="O168" t="inlineStr">
        <is>
          <t>phoenix-stone</t>
        </is>
      </c>
      <c r="P168" t="inlineStr">
        <is>
          <t>Not Started</t>
        </is>
      </c>
      <c r="Q168" t="inlineStr">
        <is>
          <t>Heart</t>
        </is>
      </c>
      <c r="R168" t="inlineStr">
        <is>
          <t>Throat</t>
        </is>
      </c>
      <c r="S168" t="inlineStr">
        <is>
          <t>Heart</t>
        </is>
      </c>
      <c r="X168" t="inlineStr">
        <is>
          <t>Composite</t>
        </is>
      </c>
      <c r="Z168" s="3" t="inlineStr">
        <is>
          <t>Rebuilding after change</t>
        </is>
      </c>
      <c r="AA168" s="3" t="inlineStr">
        <is>
          <t>Use when you are ready to move forward but do not want to deny what the experience cost you.</t>
        </is>
      </c>
      <c r="AB168" s="3" t="n"/>
      <c r="AC168" t="inlineStr">
        <is>
          <t>Transformation</t>
        </is>
      </c>
      <c r="AD168" t="inlineStr">
        <is>
          <t>Heart Healing</t>
        </is>
      </c>
      <c r="AE168" t="inlineStr">
        <is>
          <t>Emotional Regulation</t>
        </is>
      </c>
      <c r="AF168" t="inlineStr">
        <is>
          <t>["Renewal","Communication","Resilience"]</t>
        </is>
      </c>
      <c r="AJ168" t="inlineStr">
        <is>
          <t>Composite</t>
        </is>
      </c>
      <c r="AK168" t="b">
        <v>1</v>
      </c>
      <c r="AL168" t="inlineStr">
        <is>
          <t>Unreviewed</t>
        </is>
      </c>
      <c r="AM168" t="inlineStr">
        <is>
          <t>Not Started</t>
        </is>
      </c>
      <c r="AN168" t="inlineStr">
        <is>
          <t>Not Started</t>
        </is>
      </c>
      <c r="AO168" t="inlineStr">
        <is>
          <t>Not Started</t>
        </is>
      </c>
      <c r="AP168" t="inlineStr">
        <is>
          <t>Not Started</t>
        </is>
      </c>
      <c r="AR168" t="inlineStr">
        <is>
          <t>v0.3-2026-06-29</t>
        </is>
      </c>
      <c r="AT168" s="3" t="n"/>
    </row>
    <row r="169">
      <c r="A169" t="inlineStr">
        <is>
          <t>C-0192</t>
        </is>
      </c>
      <c r="B169" t="inlineStr">
        <is>
          <t>Pietersite</t>
        </is>
      </c>
      <c r="D169" t="inlineStr">
        <is>
          <t>Aggregate</t>
        </is>
      </c>
      <c r="E169" t="inlineStr">
        <is>
          <t>Chalcedony; Crocidolite</t>
        </is>
      </c>
      <c r="F169" t="n">
        <v>2</v>
      </c>
      <c r="G169" t="n">
        <v>12</v>
      </c>
      <c r="H169" t="n">
        <v>192</v>
      </c>
      <c r="I169" t="n">
        <v>192</v>
      </c>
      <c r="J169" t="inlineStr">
        <is>
          <t>Picture Jasper</t>
        </is>
      </c>
      <c r="K169" t="inlineStr">
        <is>
          <t>picture-jasper</t>
        </is>
      </c>
      <c r="L169" t="inlineStr">
        <is>
          <t>Pink Amethyst</t>
        </is>
      </c>
      <c r="M169" t="inlineStr">
        <is>
          <t>pink-amethyst</t>
        </is>
      </c>
      <c r="N169" t="b">
        <v>0</v>
      </c>
      <c r="O169" t="inlineStr">
        <is>
          <t>pietersite</t>
        </is>
      </c>
      <c r="P169" t="inlineStr">
        <is>
          <t>Not Started</t>
        </is>
      </c>
      <c r="Q169" t="inlineStr">
        <is>
          <t>Solar Plexus</t>
        </is>
      </c>
      <c r="R169" t="inlineStr">
        <is>
          <t>Third Eye</t>
        </is>
      </c>
      <c r="S169" t="inlineStr">
        <is>
          <t>Solar Plexus</t>
        </is>
      </c>
      <c r="X169" t="inlineStr">
        <is>
          <t>Mineral variety</t>
        </is>
      </c>
      <c r="Z169" s="3" t="inlineStr">
        <is>
          <t>Courage under pressure</t>
        </is>
      </c>
      <c r="AA169" s="3" t="inlineStr">
        <is>
          <t>Use when circumstances are changing quickly and you need to act without letting urgency erase your judgment.</t>
        </is>
      </c>
      <c r="AB169" s="3" t="n"/>
      <c r="AC169" t="inlineStr">
        <is>
          <t>Confidence</t>
        </is>
      </c>
      <c r="AD169" t="inlineStr">
        <is>
          <t>Transformation</t>
        </is>
      </c>
      <c r="AF169" t="inlineStr">
        <is>
          <t>["Courage","Insight","Transformation"]</t>
        </is>
      </c>
      <c r="AK169" t="b">
        <v>0</v>
      </c>
      <c r="AL169" t="inlineStr">
        <is>
          <t>Unreviewed</t>
        </is>
      </c>
      <c r="AM169" t="inlineStr">
        <is>
          <t>Not Started</t>
        </is>
      </c>
      <c r="AN169" t="inlineStr">
        <is>
          <t>Not Started</t>
        </is>
      </c>
      <c r="AO169" t="inlineStr">
        <is>
          <t>Not Started</t>
        </is>
      </c>
      <c r="AP169" t="inlineStr">
        <is>
          <t>Not Started</t>
        </is>
      </c>
      <c r="AR169" t="inlineStr">
        <is>
          <t>v0.3-2026-06-29</t>
        </is>
      </c>
      <c r="AT169" s="3" t="n"/>
    </row>
    <row r="170">
      <c r="A170" t="inlineStr">
        <is>
          <t>C-0055</t>
        </is>
      </c>
      <c r="B170" t="inlineStr">
        <is>
          <t>Pink Tourmaline</t>
        </is>
      </c>
      <c r="C170" t="inlineStr">
        <is>
          <t>Rubellite</t>
        </is>
      </c>
      <c r="D170" t="inlineStr">
        <is>
          <t>Tourmaline</t>
        </is>
      </c>
      <c r="E170" t="inlineStr">
        <is>
          <t>Elbaite</t>
        </is>
      </c>
      <c r="F170" t="n">
        <v>2</v>
      </c>
      <c r="G170" t="n">
        <v>13</v>
      </c>
      <c r="H170" t="n">
        <v>55</v>
      </c>
      <c r="I170" t="n">
        <v>55</v>
      </c>
      <c r="J170" t="inlineStr">
        <is>
          <t>Pink Opal</t>
        </is>
      </c>
      <c r="K170" t="inlineStr">
        <is>
          <t>pink-opal</t>
        </is>
      </c>
      <c r="L170" t="inlineStr">
        <is>
          <t>Polychrome Jasper</t>
        </is>
      </c>
      <c r="M170" t="inlineStr">
        <is>
          <t>polychrome-jasper</t>
        </is>
      </c>
      <c r="N170" t="b">
        <v>0</v>
      </c>
      <c r="O170" t="inlineStr">
        <is>
          <t>pink-tourmaline</t>
        </is>
      </c>
      <c r="P170" t="inlineStr">
        <is>
          <t>Not Started</t>
        </is>
      </c>
      <c r="Q170" t="inlineStr">
        <is>
          <t>Heart</t>
        </is>
      </c>
      <c r="S170" t="inlineStr">
        <is>
          <t>Heart</t>
        </is>
      </c>
      <c r="X170" t="inlineStr">
        <is>
          <t>Mineral</t>
        </is>
      </c>
      <c r="Z170" s="3" t="inlineStr">
        <is>
          <t>Safe openness</t>
        </is>
      </c>
      <c r="AA170" s="3" t="inlineStr">
        <is>
          <t>Use when you want to remain loving and receptive without taking responsibility for someone else's emotions or behavior.</t>
        </is>
      </c>
      <c r="AB170" s="3" t="n"/>
      <c r="AC170" t="inlineStr">
        <is>
          <t>Protection</t>
        </is>
      </c>
      <c r="AD170" t="inlineStr">
        <is>
          <t>Heart Healing</t>
        </is>
      </c>
      <c r="AF170" t="inlineStr">
        <is>
          <t>["Love","Compassion","Boundaries"]</t>
        </is>
      </c>
      <c r="AK170" t="b">
        <v>0</v>
      </c>
      <c r="AL170" t="inlineStr">
        <is>
          <t>Unreviewed</t>
        </is>
      </c>
      <c r="AM170" t="inlineStr">
        <is>
          <t>Not Started</t>
        </is>
      </c>
      <c r="AN170" t="inlineStr">
        <is>
          <t>Not Started</t>
        </is>
      </c>
      <c r="AO170" t="inlineStr">
        <is>
          <t>Not Started</t>
        </is>
      </c>
      <c r="AP170" t="inlineStr">
        <is>
          <t>Not Started</t>
        </is>
      </c>
      <c r="AR170" t="inlineStr">
        <is>
          <t>v0.3-2026-06-29</t>
        </is>
      </c>
      <c r="AT170" s="3" t="n"/>
    </row>
    <row r="171">
      <c r="A171" t="inlineStr">
        <is>
          <t>C-0066</t>
        </is>
      </c>
      <c r="B171" t="inlineStr">
        <is>
          <t>Ruby in Kyanite</t>
        </is>
      </c>
      <c r="D171" t="inlineStr">
        <is>
          <t>Kyanite</t>
        </is>
      </c>
      <c r="E171" t="inlineStr">
        <is>
          <t>Kyanite</t>
        </is>
      </c>
      <c r="F171" t="n">
        <v>2</v>
      </c>
      <c r="G171" t="n">
        <v>14</v>
      </c>
      <c r="H171" t="n">
        <v>66</v>
      </c>
      <c r="I171" t="n">
        <v>66</v>
      </c>
      <c r="J171" t="inlineStr">
        <is>
          <t>Ruby Fuchsite</t>
        </is>
      </c>
      <c r="K171" t="inlineStr">
        <is>
          <t>ruby-fuchsite</t>
        </is>
      </c>
      <c r="L171" t="inlineStr">
        <is>
          <t>Ruby Zoisite</t>
        </is>
      </c>
      <c r="M171" t="inlineStr">
        <is>
          <t>ruby-zoisite</t>
        </is>
      </c>
      <c r="N171" t="b">
        <v>0</v>
      </c>
      <c r="O171" t="inlineStr">
        <is>
          <t>ruby-in-kyanite</t>
        </is>
      </c>
      <c r="P171" t="inlineStr">
        <is>
          <t>Not Started</t>
        </is>
      </c>
      <c r="Q171" t="inlineStr">
        <is>
          <t>Heart</t>
        </is>
      </c>
      <c r="R171" t="inlineStr">
        <is>
          <t>Root</t>
        </is>
      </c>
      <c r="S171" t="inlineStr">
        <is>
          <t>Heart</t>
        </is>
      </c>
      <c r="X171" t="inlineStr">
        <is>
          <t>Mineral</t>
        </is>
      </c>
      <c r="Z171" s="3" t="inlineStr">
        <is>
          <t>Courageous truth</t>
        </is>
      </c>
      <c r="AA171" s="3" t="inlineStr">
        <is>
          <t>Use when you know what is true for you but need the courage to say it clearly and stand behind it.</t>
        </is>
      </c>
      <c r="AB171" s="3" t="n"/>
      <c r="AC171" t="inlineStr">
        <is>
          <t>Confidence</t>
        </is>
      </c>
      <c r="AD171" t="inlineStr">
        <is>
          <t>Vitality</t>
        </is>
      </c>
      <c r="AF171" t="inlineStr">
        <is>
          <t>["Courage","Truth","Alignment"]</t>
        </is>
      </c>
      <c r="AK171" t="b">
        <v>0</v>
      </c>
      <c r="AL171" t="inlineStr">
        <is>
          <t>Unreviewed</t>
        </is>
      </c>
      <c r="AM171" t="inlineStr">
        <is>
          <t>Not Started</t>
        </is>
      </c>
      <c r="AN171" t="inlineStr">
        <is>
          <t>Not Started</t>
        </is>
      </c>
      <c r="AO171" t="inlineStr">
        <is>
          <t>Not Started</t>
        </is>
      </c>
      <c r="AP171" t="inlineStr">
        <is>
          <t>Not Started</t>
        </is>
      </c>
      <c r="AR171" t="inlineStr">
        <is>
          <t>v0.3-2026-06-29</t>
        </is>
      </c>
      <c r="AT171" s="3" t="n"/>
    </row>
    <row r="172">
      <c r="A172" t="inlineStr">
        <is>
          <t>C-0039</t>
        </is>
      </c>
      <c r="B172" t="inlineStr">
        <is>
          <t>Sapphire</t>
        </is>
      </c>
      <c r="D172" t="inlineStr">
        <is>
          <t>Corundum</t>
        </is>
      </c>
      <c r="E172" t="inlineStr">
        <is>
          <t>Corundum</t>
        </is>
      </c>
      <c r="F172" t="n">
        <v>2</v>
      </c>
      <c r="G172" t="n">
        <v>14</v>
      </c>
      <c r="H172" t="n">
        <v>39</v>
      </c>
      <c r="I172" t="n">
        <v>39</v>
      </c>
      <c r="J172" t="inlineStr">
        <is>
          <t>Rutile</t>
        </is>
      </c>
      <c r="K172" t="inlineStr">
        <is>
          <t>rutile</t>
        </is>
      </c>
      <c r="L172" t="inlineStr">
        <is>
          <t>Scapolite</t>
        </is>
      </c>
      <c r="M172" t="inlineStr">
        <is>
          <t>scapolite</t>
        </is>
      </c>
      <c r="N172" t="b">
        <v>0</v>
      </c>
      <c r="O172" t="inlineStr">
        <is>
          <t>sapphire</t>
        </is>
      </c>
      <c r="P172" t="inlineStr">
        <is>
          <t>Not Started</t>
        </is>
      </c>
      <c r="Q172" t="inlineStr">
        <is>
          <t>Third Eye</t>
        </is>
      </c>
      <c r="R172" t="inlineStr">
        <is>
          <t>Throat</t>
        </is>
      </c>
      <c r="S172" t="inlineStr">
        <is>
          <t>Third Eye</t>
        </is>
      </c>
      <c r="X172" t="inlineStr">
        <is>
          <t>Mineral</t>
        </is>
      </c>
      <c r="Z172" s="3" t="inlineStr">
        <is>
          <t>Principled wisdom</t>
        </is>
      </c>
      <c r="AA172" s="3" t="inlineStr">
        <is>
          <t>Use when pressure is tempting you to compromise a value that matters to your long-term self-respect.</t>
        </is>
      </c>
      <c r="AB172" s="3" t="n"/>
      <c r="AC172" t="inlineStr">
        <is>
          <t>Intuition</t>
        </is>
      </c>
      <c r="AD172" t="inlineStr">
        <is>
          <t>Clarity &amp; Focus</t>
        </is>
      </c>
      <c r="AF172" t="inlineStr">
        <is>
          <t>["Wisdom","Integrity","Discipline"]</t>
        </is>
      </c>
      <c r="AK172" t="b">
        <v>0</v>
      </c>
      <c r="AL172" t="inlineStr">
        <is>
          <t>Unreviewed</t>
        </is>
      </c>
      <c r="AM172" t="inlineStr">
        <is>
          <t>Not Started</t>
        </is>
      </c>
      <c r="AN172" t="inlineStr">
        <is>
          <t>Not Started</t>
        </is>
      </c>
      <c r="AO172" t="inlineStr">
        <is>
          <t>Not Started</t>
        </is>
      </c>
      <c r="AP172" t="inlineStr">
        <is>
          <t>Not Started</t>
        </is>
      </c>
      <c r="AR172" t="inlineStr">
        <is>
          <t>v0.3-2026-06-29</t>
        </is>
      </c>
      <c r="AT172" s="3" t="n"/>
    </row>
    <row r="173">
      <c r="A173" t="inlineStr">
        <is>
          <t>C-0265</t>
        </is>
      </c>
      <c r="B173" t="inlineStr">
        <is>
          <t>Seraphinite</t>
        </is>
      </c>
      <c r="D173" t="inlineStr">
        <is>
          <t>Silicates</t>
        </is>
      </c>
      <c r="E173" t="inlineStr">
        <is>
          <t>Clinochlore</t>
        </is>
      </c>
      <c r="F173" t="n">
        <v>2</v>
      </c>
      <c r="G173" t="n">
        <v>15</v>
      </c>
      <c r="H173" t="n">
        <v>265</v>
      </c>
      <c r="I173" t="n">
        <v>265</v>
      </c>
      <c r="J173" t="inlineStr">
        <is>
          <t>Septarian</t>
        </is>
      </c>
      <c r="K173" t="inlineStr">
        <is>
          <t>septarian</t>
        </is>
      </c>
      <c r="L173" t="inlineStr">
        <is>
          <t>Serpentine</t>
        </is>
      </c>
      <c r="M173" t="inlineStr">
        <is>
          <t>serpentine</t>
        </is>
      </c>
      <c r="N173" t="b">
        <v>0</v>
      </c>
      <c r="O173" t="inlineStr">
        <is>
          <t>seraphinite</t>
        </is>
      </c>
      <c r="P173" t="inlineStr">
        <is>
          <t>Not Started</t>
        </is>
      </c>
      <c r="Q173" t="inlineStr">
        <is>
          <t>Heart</t>
        </is>
      </c>
      <c r="R173" t="inlineStr">
        <is>
          <t>Crown</t>
        </is>
      </c>
      <c r="S173" t="inlineStr">
        <is>
          <t>Heart</t>
        </is>
      </c>
      <c r="X173" t="inlineStr">
        <is>
          <t>Mineral</t>
        </is>
      </c>
      <c r="Z173" s="3" t="inlineStr">
        <is>
          <t>Heart alignment</t>
        </is>
      </c>
      <c r="AA173" s="3" t="inlineStr">
        <is>
          <t>Use when you are ready to understand an emotional pattern with compassion rather than criticism or avoidance.</t>
        </is>
      </c>
      <c r="AB173" s="3" t="n"/>
      <c r="AC173" t="inlineStr">
        <is>
          <t>Heart Healing</t>
        </is>
      </c>
      <c r="AD173" t="inlineStr">
        <is>
          <t>Spiritual Connection</t>
        </is>
      </c>
      <c r="AF173" t="inlineStr">
        <is>
          <t>["Healing","Alignment","Compassion"]</t>
        </is>
      </c>
      <c r="AK173" t="b">
        <v>0</v>
      </c>
      <c r="AL173" t="inlineStr">
        <is>
          <t>Unreviewed</t>
        </is>
      </c>
      <c r="AM173" t="inlineStr">
        <is>
          <t>Not Started</t>
        </is>
      </c>
      <c r="AN173" t="inlineStr">
        <is>
          <t>Not Started</t>
        </is>
      </c>
      <c r="AO173" t="inlineStr">
        <is>
          <t>Not Started</t>
        </is>
      </c>
      <c r="AP173" t="inlineStr">
        <is>
          <t>Not Started</t>
        </is>
      </c>
      <c r="AR173" t="inlineStr">
        <is>
          <t>v0.3-2026-06-29</t>
        </is>
      </c>
      <c r="AT173" s="3" t="n"/>
    </row>
    <row r="174">
      <c r="A174" t="inlineStr">
        <is>
          <t>C-0401</t>
        </is>
      </c>
      <c r="B174" t="inlineStr">
        <is>
          <t>Unicorn Stone</t>
        </is>
      </c>
      <c r="C174" t="inlineStr">
        <is>
          <t>Unicorn Jasper; Unicorn Crystal</t>
        </is>
      </c>
      <c r="F174" t="n">
        <v>2</v>
      </c>
      <c r="G174" t="n">
        <v>16</v>
      </c>
      <c r="H174" t="n">
        <v>0</v>
      </c>
      <c r="I174" t="n">
        <v>0</v>
      </c>
      <c r="J174" t="inlineStr">
        <is>
          <t>Unakite</t>
        </is>
      </c>
      <c r="K174" t="inlineStr">
        <is>
          <t>unakite</t>
        </is>
      </c>
      <c r="L174" t="inlineStr">
        <is>
          <t>Uvarovite</t>
        </is>
      </c>
      <c r="M174" t="inlineStr">
        <is>
          <t>uvarovite</t>
        </is>
      </c>
      <c r="N174" t="b">
        <v>0</v>
      </c>
      <c r="O174" t="inlineStr">
        <is>
          <t>unicorn-stone</t>
        </is>
      </c>
      <c r="P174" t="inlineStr">
        <is>
          <t>Not Started</t>
        </is>
      </c>
      <c r="Q174" t="inlineStr">
        <is>
          <t>Heart</t>
        </is>
      </c>
      <c r="R174" t="inlineStr">
        <is>
          <t>Third Eye</t>
        </is>
      </c>
      <c r="S174" t="inlineStr">
        <is>
          <t>Heart</t>
        </is>
      </c>
      <c r="X174" t="inlineStr">
        <is>
          <t>Rock</t>
        </is>
      </c>
      <c r="Z174" s="3" t="inlineStr">
        <is>
          <t>Comfort during emotional recovery</t>
        </is>
      </c>
      <c r="AA174" s="3" t="inlineStr">
        <is>
          <t>Use when you need softness and reassurance but also want to remain present for the next step.</t>
        </is>
      </c>
      <c r="AB174" s="3" t="n"/>
      <c r="AC174" t="inlineStr">
        <is>
          <t>Heart Healing</t>
        </is>
      </c>
      <c r="AD174" t="inlineStr">
        <is>
          <t>Emotional Regulation</t>
        </is>
      </c>
      <c r="AE174" t="inlineStr">
        <is>
          <t>Grounding</t>
        </is>
      </c>
      <c r="AF174" t="inlineStr">
        <is>
          <t>["Comfort","Love","Resilience"]</t>
        </is>
      </c>
      <c r="AK174" t="b">
        <v>0</v>
      </c>
      <c r="AL174" t="inlineStr">
        <is>
          <t>Unreviewed</t>
        </is>
      </c>
      <c r="AM174" t="inlineStr">
        <is>
          <t>Not Started</t>
        </is>
      </c>
      <c r="AN174" t="inlineStr">
        <is>
          <t>Not Started</t>
        </is>
      </c>
      <c r="AO174" t="inlineStr">
        <is>
          <t>Not Started</t>
        </is>
      </c>
      <c r="AP174" t="inlineStr">
        <is>
          <t>Not Started</t>
        </is>
      </c>
      <c r="AR174" t="inlineStr">
        <is>
          <t>v0.3-2026-06-29</t>
        </is>
      </c>
      <c r="AT174" s="3" t="n"/>
    </row>
    <row r="175">
      <c r="A175" t="inlineStr">
        <is>
          <t>C-0402</t>
        </is>
      </c>
      <c r="B175" t="inlineStr">
        <is>
          <t>Aegirine</t>
        </is>
      </c>
      <c r="D175" t="inlineStr">
        <is>
          <t>Silicates</t>
        </is>
      </c>
      <c r="E175" t="inlineStr">
        <is>
          <t>Aegirine</t>
        </is>
      </c>
      <c r="F175" t="n">
        <v>3</v>
      </c>
      <c r="G175" t="n">
        <v>17</v>
      </c>
      <c r="H175" t="n">
        <v>0</v>
      </c>
      <c r="I175" t="n">
        <v>0</v>
      </c>
      <c r="J175" t="inlineStr">
        <is>
          <t>Adamite</t>
        </is>
      </c>
      <c r="K175" t="inlineStr">
        <is>
          <t>adamite</t>
        </is>
      </c>
      <c r="L175" t="inlineStr">
        <is>
          <t>Ajoite</t>
        </is>
      </c>
      <c r="M175" t="inlineStr">
        <is>
          <t>ajoite</t>
        </is>
      </c>
      <c r="N175" t="b">
        <v>0</v>
      </c>
      <c r="O175" t="inlineStr">
        <is>
          <t>aegirine</t>
        </is>
      </c>
      <c r="P175" t="inlineStr">
        <is>
          <t>Not Started</t>
        </is>
      </c>
      <c r="Q175" t="inlineStr">
        <is>
          <t>Root</t>
        </is>
      </c>
      <c r="S175" t="inlineStr">
        <is>
          <t>Root</t>
        </is>
      </c>
      <c r="X175" t="inlineStr">
        <is>
          <t>Mineral</t>
        </is>
      </c>
      <c r="Z175" s="3" t="inlineStr">
        <is>
          <t>Staying grounded and true to yourself under pressure</t>
        </is>
      </c>
      <c r="AA175" s="3" t="inlineStr">
        <is>
          <t>Use when you need to hold your ground, trust your convictions, and remain centered around difficult energy.</t>
        </is>
      </c>
      <c r="AB175" s="3" t="n"/>
      <c r="AF175" t="inlineStr">
        <is>
          <t>["Integrity","Protection","Resolve"]</t>
        </is>
      </c>
      <c r="AK175" t="b">
        <v>0</v>
      </c>
      <c r="AL175" t="inlineStr">
        <is>
          <t>Unreviewed</t>
        </is>
      </c>
      <c r="AM175" t="inlineStr">
        <is>
          <t>Not Started</t>
        </is>
      </c>
      <c r="AN175" t="inlineStr">
        <is>
          <t>Not Started</t>
        </is>
      </c>
      <c r="AO175" t="inlineStr">
        <is>
          <t>Not Started</t>
        </is>
      </c>
      <c r="AP175" t="inlineStr">
        <is>
          <t>Not Started</t>
        </is>
      </c>
      <c r="AR175" t="inlineStr">
        <is>
          <t>v0.3-2026-06-29</t>
        </is>
      </c>
      <c r="AT175" s="3" t="n"/>
    </row>
    <row r="176">
      <c r="A176" t="inlineStr">
        <is>
          <t>C-0403</t>
        </is>
      </c>
      <c r="B176" t="inlineStr">
        <is>
          <t>Tiffany Stone</t>
        </is>
      </c>
      <c r="C176" t="inlineStr">
        <is>
          <t>Bertrandite; Opalized Fluorite</t>
        </is>
      </c>
      <c r="D176" t="inlineStr">
        <is>
          <t>Composite</t>
        </is>
      </c>
      <c r="E176" t="inlineStr">
        <is>
          <t>Mixed mineral rock</t>
        </is>
      </c>
      <c r="F176" t="n">
        <v>3</v>
      </c>
      <c r="G176" t="n">
        <v>27</v>
      </c>
      <c r="H176" t="n">
        <v>0</v>
      </c>
      <c r="I176" t="n">
        <v>0</v>
      </c>
      <c r="J176" t="inlineStr">
        <is>
          <t>Tibetan Quartz</t>
        </is>
      </c>
      <c r="K176" t="inlineStr">
        <is>
          <t>tibetan-quartz</t>
        </is>
      </c>
      <c r="L176" t="inlineStr">
        <is>
          <t>Titanium Aura Quartz</t>
        </is>
      </c>
      <c r="M176" t="inlineStr">
        <is>
          <t>titanium-aura-quartz</t>
        </is>
      </c>
      <c r="N176" t="b">
        <v>0</v>
      </c>
      <c r="O176" t="inlineStr">
        <is>
          <t>tiffany-stone</t>
        </is>
      </c>
      <c r="P176" t="inlineStr">
        <is>
          <t>Not Started</t>
        </is>
      </c>
      <c r="Q176" t="inlineStr">
        <is>
          <t>Crown</t>
        </is>
      </c>
      <c r="S176" t="inlineStr">
        <is>
          <t>Crown</t>
        </is>
      </c>
      <c r="X176" t="inlineStr">
        <is>
          <t>Rock</t>
        </is>
      </c>
      <c r="Z176" s="3" t="inlineStr">
        <is>
          <t>Exploring unfamiliar ideas and following intuitive insight</t>
        </is>
      </c>
      <c r="AA176" s="3" t="inlineStr">
        <is>
          <t>Use when you feel ready to question familiar assumptions and follow a new intuitive direction.</t>
        </is>
      </c>
      <c r="AB176" s="3" t="n"/>
      <c r="AF176" t="inlineStr">
        <is>
          <t>["Intuition","Expansion","Discovery"]</t>
        </is>
      </c>
      <c r="AK176" t="b">
        <v>0</v>
      </c>
      <c r="AL176" t="inlineStr">
        <is>
          <t>Unreviewed</t>
        </is>
      </c>
      <c r="AM176" t="inlineStr">
        <is>
          <t>Not Started</t>
        </is>
      </c>
      <c r="AN176" t="inlineStr">
        <is>
          <t>Not Started</t>
        </is>
      </c>
      <c r="AO176" t="inlineStr">
        <is>
          <t>Not Started</t>
        </is>
      </c>
      <c r="AP176" t="inlineStr">
        <is>
          <t>Not Started</t>
        </is>
      </c>
      <c r="AR176" t="inlineStr">
        <is>
          <t>v0.3-2026-06-29</t>
        </is>
      </c>
      <c r="AT176" s="3" t="n"/>
    </row>
    <row r="177">
      <c r="A177" t="inlineStr">
        <is>
          <t>C-0274</t>
        </is>
      </c>
      <c r="B177" t="inlineStr">
        <is>
          <t>Amegreen</t>
        </is>
      </c>
      <c r="D177" t="inlineStr">
        <is>
          <t>Quartz</t>
        </is>
      </c>
      <c r="E177" t="inlineStr">
        <is>
          <t>Quartz</t>
        </is>
      </c>
      <c r="F177" t="n">
        <v>3</v>
      </c>
      <c r="G177" t="n">
        <v>17</v>
      </c>
      <c r="H177" t="n">
        <v>274</v>
      </c>
      <c r="I177" t="n">
        <v>274</v>
      </c>
      <c r="J177" t="inlineStr">
        <is>
          <t>Amblygonite</t>
        </is>
      </c>
      <c r="K177" t="inlineStr">
        <is>
          <t>amblygonite</t>
        </is>
      </c>
      <c r="L177" t="inlineStr">
        <is>
          <t>Amethyst</t>
        </is>
      </c>
      <c r="M177" t="inlineStr">
        <is>
          <t>amethyst</t>
        </is>
      </c>
      <c r="N177" t="b">
        <v>0</v>
      </c>
      <c r="O177" t="inlineStr">
        <is>
          <t>amegreen</t>
        </is>
      </c>
      <c r="P177" t="inlineStr">
        <is>
          <t>Not Started</t>
        </is>
      </c>
      <c r="Q177" t="inlineStr">
        <is>
          <t>Heart</t>
        </is>
      </c>
      <c r="R177" t="inlineStr">
        <is>
          <t>Crown</t>
        </is>
      </c>
      <c r="S177" t="inlineStr">
        <is>
          <t>Heart</t>
        </is>
      </c>
      <c r="X177" t="inlineStr">
        <is>
          <t>Mineral</t>
        </is>
      </c>
      <c r="Z177" s="3" t="inlineStr">
        <is>
          <t>Heart-mind balance</t>
        </is>
      </c>
      <c r="AA177" s="3" t="inlineStr">
        <is>
          <t>Use when your feelings and thoughts seem to be pulling you in different directions and you need a more integrated perspective.</t>
        </is>
      </c>
      <c r="AB177" s="3" t="n"/>
      <c r="AC177" t="inlineStr">
        <is>
          <t>Heart Healing</t>
        </is>
      </c>
      <c r="AD177" t="inlineStr">
        <is>
          <t>Spiritual Connection</t>
        </is>
      </c>
      <c r="AF177" t="inlineStr">
        <is>
          <t>["Balance","Healing","Harmony"]</t>
        </is>
      </c>
      <c r="AK177" t="b">
        <v>0</v>
      </c>
      <c r="AL177" t="inlineStr">
        <is>
          <t>Unreviewed</t>
        </is>
      </c>
      <c r="AM177" t="inlineStr">
        <is>
          <t>Not Started</t>
        </is>
      </c>
      <c r="AN177" t="inlineStr">
        <is>
          <t>Not Started</t>
        </is>
      </c>
      <c r="AO177" t="inlineStr">
        <is>
          <t>Not Started</t>
        </is>
      </c>
      <c r="AP177" t="inlineStr">
        <is>
          <t>Not Started</t>
        </is>
      </c>
      <c r="AR177" t="inlineStr">
        <is>
          <t>v0.3-2026-06-29</t>
        </is>
      </c>
      <c r="AT177" s="3" t="n"/>
    </row>
    <row r="178">
      <c r="A178" t="inlineStr">
        <is>
          <t>C-0148</t>
        </is>
      </c>
      <c r="B178" t="inlineStr">
        <is>
          <t>Andalusite</t>
        </is>
      </c>
      <c r="D178" t="inlineStr">
        <is>
          <t>Silicates</t>
        </is>
      </c>
      <c r="E178" t="inlineStr">
        <is>
          <t>Andalusite</t>
        </is>
      </c>
      <c r="F178" t="n">
        <v>3</v>
      </c>
      <c r="G178" t="n">
        <v>17</v>
      </c>
      <c r="H178" t="n">
        <v>148</v>
      </c>
      <c r="I178" t="n">
        <v>148</v>
      </c>
      <c r="J178" t="inlineStr">
        <is>
          <t>Ammonite</t>
        </is>
      </c>
      <c r="K178" t="inlineStr">
        <is>
          <t>ammonite</t>
        </is>
      </c>
      <c r="L178" t="inlineStr">
        <is>
          <t>Andradite Garnet</t>
        </is>
      </c>
      <c r="M178" t="inlineStr">
        <is>
          <t>andradite-garnet</t>
        </is>
      </c>
      <c r="N178" t="b">
        <v>0</v>
      </c>
      <c r="O178" t="inlineStr">
        <is>
          <t>andalusite</t>
        </is>
      </c>
      <c r="P178" t="inlineStr">
        <is>
          <t>Not Started</t>
        </is>
      </c>
      <c r="Q178" t="inlineStr">
        <is>
          <t>Solar Plexus</t>
        </is>
      </c>
      <c r="R178" t="inlineStr">
        <is>
          <t>Root</t>
        </is>
      </c>
      <c r="S178" t="inlineStr">
        <is>
          <t>Solar Plexus</t>
        </is>
      </c>
      <c r="X178" t="inlineStr">
        <is>
          <t>Mineral</t>
        </is>
      </c>
      <c r="Z178" s="3" t="inlineStr">
        <is>
          <t>Balanced perspective</t>
        </is>
      </c>
      <c r="AA178" s="3" t="inlineStr">
        <is>
          <t>Use when you are locked into one interpretation and need to consider what else may be true before responding.</t>
        </is>
      </c>
      <c r="AB178" s="3" t="n"/>
      <c r="AC178" t="inlineStr">
        <is>
          <t>Grounding</t>
        </is>
      </c>
      <c r="AD178" t="inlineStr">
        <is>
          <t>Confidence</t>
        </is>
      </c>
      <c r="AE178" t="inlineStr">
        <is>
          <t>Clarity &amp; Focus</t>
        </is>
      </c>
      <c r="AF178" t="inlineStr">
        <is>
          <t>["Balance","Insight","Discernment"]</t>
        </is>
      </c>
      <c r="AK178" t="b">
        <v>0</v>
      </c>
      <c r="AL178" t="inlineStr">
        <is>
          <t>Unreviewed</t>
        </is>
      </c>
      <c r="AM178" t="inlineStr">
        <is>
          <t>Not Started</t>
        </is>
      </c>
      <c r="AN178" t="inlineStr">
        <is>
          <t>Not Started</t>
        </is>
      </c>
      <c r="AO178" t="inlineStr">
        <is>
          <t>Not Started</t>
        </is>
      </c>
      <c r="AP178" t="inlineStr">
        <is>
          <t>Not Started</t>
        </is>
      </c>
      <c r="AR178" t="inlineStr">
        <is>
          <t>v0.3-2026-06-29</t>
        </is>
      </c>
      <c r="AT178" s="3" t="n"/>
    </row>
    <row r="179">
      <c r="A179" t="inlineStr">
        <is>
          <t>C-0247</t>
        </is>
      </c>
      <c r="B179" t="inlineStr">
        <is>
          <t>Astrophyllite</t>
        </is>
      </c>
      <c r="D179" t="inlineStr">
        <is>
          <t>Silicates</t>
        </is>
      </c>
      <c r="E179" t="inlineStr">
        <is>
          <t>Astrophyllite</t>
        </is>
      </c>
      <c r="F179" t="n">
        <v>3</v>
      </c>
      <c r="G179" t="n">
        <v>17</v>
      </c>
      <c r="H179" t="n">
        <v>247</v>
      </c>
      <c r="I179" t="n">
        <v>247</v>
      </c>
      <c r="J179" t="inlineStr">
        <is>
          <t>Arkansas Quartz</t>
        </is>
      </c>
      <c r="K179" t="inlineStr">
        <is>
          <t>arkansas-quartz</t>
        </is>
      </c>
      <c r="L179" t="inlineStr">
        <is>
          <t>Atlantisite</t>
        </is>
      </c>
      <c r="M179" t="inlineStr">
        <is>
          <t>atlantisite</t>
        </is>
      </c>
      <c r="N179" t="b">
        <v>0</v>
      </c>
      <c r="O179" t="inlineStr">
        <is>
          <t>astrophyllite</t>
        </is>
      </c>
      <c r="P179" t="inlineStr">
        <is>
          <t>Not Started</t>
        </is>
      </c>
      <c r="Q179" t="inlineStr">
        <is>
          <t>Crown</t>
        </is>
      </c>
      <c r="R179" t="inlineStr">
        <is>
          <t>Third Eye</t>
        </is>
      </c>
      <c r="S179" t="inlineStr">
        <is>
          <t>Crown</t>
        </is>
      </c>
      <c r="X179" t="inlineStr">
        <is>
          <t>Mineral</t>
        </is>
      </c>
      <c r="Z179" s="3" t="inlineStr">
        <is>
          <t>Purposeful expansion</t>
        </is>
      </c>
      <c r="AA179" s="3" t="inlineStr">
        <is>
          <t>Use when you sense that a transition has deeper meaning but cannot yet see how its pieces fit together.</t>
        </is>
      </c>
      <c r="AB179" s="3" t="n"/>
      <c r="AC179" t="inlineStr">
        <is>
          <t>Spiritual Connection</t>
        </is>
      </c>
      <c r="AD179" t="inlineStr">
        <is>
          <t>Clarity &amp; Focus</t>
        </is>
      </c>
      <c r="AE179" t="inlineStr">
        <is>
          <t>Confidence</t>
        </is>
      </c>
      <c r="AF179" t="inlineStr">
        <is>
          <t>["Purpose","Insight","Transformation"]</t>
        </is>
      </c>
      <c r="AK179" t="b">
        <v>0</v>
      </c>
      <c r="AL179" t="inlineStr">
        <is>
          <t>Unreviewed</t>
        </is>
      </c>
      <c r="AM179" t="inlineStr">
        <is>
          <t>Not Started</t>
        </is>
      </c>
      <c r="AN179" t="inlineStr">
        <is>
          <t>Not Started</t>
        </is>
      </c>
      <c r="AO179" t="inlineStr">
        <is>
          <t>Not Started</t>
        </is>
      </c>
      <c r="AP179" t="inlineStr">
        <is>
          <t>Not Started</t>
        </is>
      </c>
      <c r="AR179" t="inlineStr">
        <is>
          <t>v0.3-2026-06-29</t>
        </is>
      </c>
      <c r="AT179" s="3" t="n"/>
    </row>
    <row r="180">
      <c r="A180" t="inlineStr">
        <is>
          <t>C-0133</t>
        </is>
      </c>
      <c r="B180" t="inlineStr">
        <is>
          <t>Atlantisite</t>
        </is>
      </c>
      <c r="C180" t="inlineStr">
        <is>
          <t>Stichtite in Serpentine</t>
        </is>
      </c>
      <c r="D180" t="inlineStr">
        <is>
          <t>Silicates</t>
        </is>
      </c>
      <c r="E180" t="inlineStr">
        <is>
          <t>Antigorite; Stichtite</t>
        </is>
      </c>
      <c r="F180" t="n">
        <v>3</v>
      </c>
      <c r="G180" t="n">
        <v>17</v>
      </c>
      <c r="H180" t="n">
        <v>133</v>
      </c>
      <c r="I180" t="n">
        <v>133</v>
      </c>
      <c r="J180" t="inlineStr">
        <is>
          <t>Astrophyllite</t>
        </is>
      </c>
      <c r="K180" t="inlineStr">
        <is>
          <t>astrophyllite</t>
        </is>
      </c>
      <c r="L180" t="inlineStr">
        <is>
          <t>Auralite 23</t>
        </is>
      </c>
      <c r="M180" t="inlineStr">
        <is>
          <t>auralite-23</t>
        </is>
      </c>
      <c r="N180" t="b">
        <v>0</v>
      </c>
      <c r="O180" t="inlineStr">
        <is>
          <t>atlantisite</t>
        </is>
      </c>
      <c r="P180" t="inlineStr">
        <is>
          <t>Not Started</t>
        </is>
      </c>
      <c r="Q180" t="inlineStr">
        <is>
          <t>Heart</t>
        </is>
      </c>
      <c r="R180" t="inlineStr">
        <is>
          <t>Crown</t>
        </is>
      </c>
      <c r="S180" t="inlineStr">
        <is>
          <t>Heart</t>
        </is>
      </c>
      <c r="X180" t="inlineStr">
        <is>
          <t>Rock</t>
        </is>
      </c>
      <c r="Z180" s="3" t="inlineStr">
        <is>
          <t>Grounded compassion</t>
        </is>
      </c>
      <c r="AA180" s="3" t="inlineStr">
        <is>
          <t>Use when you want to process a tender emotional issue without becoming consumed by it or disconnected from daily life.</t>
        </is>
      </c>
      <c r="AB180" s="3" t="n"/>
      <c r="AC180" t="inlineStr">
        <is>
          <t>Spiritual Connection</t>
        </is>
      </c>
      <c r="AD180" t="inlineStr">
        <is>
          <t>Vitality</t>
        </is>
      </c>
      <c r="AF180" t="inlineStr">
        <is>
          <t>["Compassion","Healing","Grounding"]</t>
        </is>
      </c>
      <c r="AK180" t="b">
        <v>0</v>
      </c>
      <c r="AL180" t="inlineStr">
        <is>
          <t>Unreviewed</t>
        </is>
      </c>
      <c r="AM180" t="inlineStr">
        <is>
          <t>Not Started</t>
        </is>
      </c>
      <c r="AN180" t="inlineStr">
        <is>
          <t>Not Started</t>
        </is>
      </c>
      <c r="AO180" t="inlineStr">
        <is>
          <t>Not Started</t>
        </is>
      </c>
      <c r="AP180" t="inlineStr">
        <is>
          <t>Not Started</t>
        </is>
      </c>
      <c r="AR180" t="inlineStr">
        <is>
          <t>v0.3-2026-06-29</t>
        </is>
      </c>
      <c r="AT180" s="3" t="n"/>
    </row>
    <row r="181">
      <c r="A181" t="inlineStr">
        <is>
          <t>C-0182</t>
        </is>
      </c>
      <c r="B181" t="inlineStr">
        <is>
          <t>Auralite 23</t>
        </is>
      </c>
      <c r="D181" t="inlineStr">
        <is>
          <t>Quartz</t>
        </is>
      </c>
      <c r="E181" t="inlineStr">
        <is>
          <t>Quartz</t>
        </is>
      </c>
      <c r="F181" t="n">
        <v>3</v>
      </c>
      <c r="G181" t="n">
        <v>17</v>
      </c>
      <c r="H181" t="n">
        <v>182</v>
      </c>
      <c r="I181" t="n">
        <v>182</v>
      </c>
      <c r="J181" t="inlineStr">
        <is>
          <t>Atlantisite</t>
        </is>
      </c>
      <c r="K181" t="inlineStr">
        <is>
          <t>atlantisite</t>
        </is>
      </c>
      <c r="L181" t="inlineStr">
        <is>
          <t>Axinite</t>
        </is>
      </c>
      <c r="M181" t="inlineStr">
        <is>
          <t>axinite</t>
        </is>
      </c>
      <c r="N181" t="b">
        <v>0</v>
      </c>
      <c r="O181" t="inlineStr">
        <is>
          <t>auralite-23</t>
        </is>
      </c>
      <c r="P181" t="inlineStr">
        <is>
          <t>Not Started</t>
        </is>
      </c>
      <c r="Q181" t="inlineStr">
        <is>
          <t>Crown</t>
        </is>
      </c>
      <c r="S181" t="inlineStr">
        <is>
          <t>Crown</t>
        </is>
      </c>
      <c r="X181" t="inlineStr">
        <is>
          <t>Mineral</t>
        </is>
      </c>
      <c r="Z181" s="3" t="inlineStr">
        <is>
          <t>Pattern awareness</t>
        </is>
      </c>
      <c r="AA181" s="3" t="inlineStr">
        <is>
          <t>Use when repeated reactions or emotional patterns are becoming visible and you are ready to understand what keeps driving them.</t>
        </is>
      </c>
      <c r="AB181" s="3" t="n"/>
      <c r="AC181" t="inlineStr">
        <is>
          <t>Transformation</t>
        </is>
      </c>
      <c r="AD181" t="inlineStr">
        <is>
          <t>Spiritual Connection</t>
        </is>
      </c>
      <c r="AF181" t="inlineStr">
        <is>
          <t>["Integration","Insight","Transformation"]</t>
        </is>
      </c>
      <c r="AK181" t="b">
        <v>0</v>
      </c>
      <c r="AL181" t="inlineStr">
        <is>
          <t>Unreviewed</t>
        </is>
      </c>
      <c r="AM181" t="inlineStr">
        <is>
          <t>Not Started</t>
        </is>
      </c>
      <c r="AN181" t="inlineStr">
        <is>
          <t>Not Started</t>
        </is>
      </c>
      <c r="AO181" t="inlineStr">
        <is>
          <t>Not Started</t>
        </is>
      </c>
      <c r="AP181" t="inlineStr">
        <is>
          <t>Not Started</t>
        </is>
      </c>
      <c r="AR181" t="inlineStr">
        <is>
          <t>v0.3-2026-06-29</t>
        </is>
      </c>
      <c r="AT181" s="3" t="n"/>
    </row>
    <row r="182">
      <c r="A182" t="inlineStr">
        <is>
          <t>C-0206</t>
        </is>
      </c>
      <c r="B182" t="inlineStr">
        <is>
          <t>Barite</t>
        </is>
      </c>
      <c r="C182" t="inlineStr">
        <is>
          <t>Baryte</t>
        </is>
      </c>
      <c r="D182" t="inlineStr">
        <is>
          <t>Other Mineral</t>
        </is>
      </c>
      <c r="E182" t="inlineStr">
        <is>
          <t>Barite</t>
        </is>
      </c>
      <c r="F182" t="n">
        <v>3</v>
      </c>
      <c r="G182" t="n">
        <v>17</v>
      </c>
      <c r="H182" t="n">
        <v>206</v>
      </c>
      <c r="I182" t="n">
        <v>206</v>
      </c>
      <c r="J182" t="inlineStr">
        <is>
          <t>Banded Carnelian</t>
        </is>
      </c>
      <c r="K182" t="inlineStr">
        <is>
          <t>banded-carnelian</t>
        </is>
      </c>
      <c r="L182" t="inlineStr">
        <is>
          <t>Biotite</t>
        </is>
      </c>
      <c r="M182" t="inlineStr">
        <is>
          <t>biotite</t>
        </is>
      </c>
      <c r="N182" t="b">
        <v>0</v>
      </c>
      <c r="O182" t="inlineStr">
        <is>
          <t>barite</t>
        </is>
      </c>
      <c r="P182" t="inlineStr">
        <is>
          <t>Not Started</t>
        </is>
      </c>
      <c r="Q182" t="inlineStr">
        <is>
          <t>Crown</t>
        </is>
      </c>
      <c r="R182" t="inlineStr">
        <is>
          <t>Throat</t>
        </is>
      </c>
      <c r="S182" t="inlineStr">
        <is>
          <t>Crown</t>
        </is>
      </c>
      <c r="X182" t="inlineStr">
        <is>
          <t>Mineral</t>
        </is>
      </c>
      <c r="Z182" s="3" t="inlineStr">
        <is>
          <t>Burden release</t>
        </is>
      </c>
      <c r="AA182" s="3" t="inlineStr">
        <is>
          <t>Use when you feel responsible for fixing more than is realistically yours to carry.</t>
        </is>
      </c>
      <c r="AB182" s="3" t="n"/>
      <c r="AC182" t="inlineStr">
        <is>
          <t>Calm &amp; Peace</t>
        </is>
      </c>
      <c r="AD182" t="inlineStr">
        <is>
          <t>Intuition</t>
        </is>
      </c>
      <c r="AE182" t="inlineStr">
        <is>
          <t>Spiritual Connection</t>
        </is>
      </c>
      <c r="AF182" t="inlineStr">
        <is>
          <t>["Clarity","Boundaries","Release"]</t>
        </is>
      </c>
      <c r="AK182" t="b">
        <v>0</v>
      </c>
      <c r="AL182" t="inlineStr">
        <is>
          <t>Unreviewed</t>
        </is>
      </c>
      <c r="AM182" t="inlineStr">
        <is>
          <t>Not Started</t>
        </is>
      </c>
      <c r="AN182" t="inlineStr">
        <is>
          <t>Not Started</t>
        </is>
      </c>
      <c r="AO182" t="inlineStr">
        <is>
          <t>Not Started</t>
        </is>
      </c>
      <c r="AP182" t="inlineStr">
        <is>
          <t>Not Started</t>
        </is>
      </c>
      <c r="AR182" t="inlineStr">
        <is>
          <t>v0.3-2026-06-29</t>
        </is>
      </c>
      <c r="AT182" s="3" t="n"/>
    </row>
    <row r="183">
      <c r="A183" t="inlineStr">
        <is>
          <t>C-0400</t>
        </is>
      </c>
      <c r="B183" t="inlineStr">
        <is>
          <t>Biotite</t>
        </is>
      </c>
      <c r="C183" t="inlineStr">
        <is>
          <t>Black Mica; Dark Mica</t>
        </is>
      </c>
      <c r="F183" t="n">
        <v>3</v>
      </c>
      <c r="G183" t="n">
        <v>17</v>
      </c>
      <c r="H183" t="n">
        <v>0</v>
      </c>
      <c r="I183" t="n">
        <v>0</v>
      </c>
      <c r="J183" t="inlineStr">
        <is>
          <t>Barite</t>
        </is>
      </c>
      <c r="K183" t="inlineStr">
        <is>
          <t>barite</t>
        </is>
      </c>
      <c r="L183" t="inlineStr">
        <is>
          <t>Bismuth</t>
        </is>
      </c>
      <c r="M183" t="inlineStr">
        <is>
          <t>bismuth</t>
        </is>
      </c>
      <c r="N183" t="b">
        <v>0</v>
      </c>
      <c r="O183" t="inlineStr">
        <is>
          <t>biotite</t>
        </is>
      </c>
      <c r="P183" t="inlineStr">
        <is>
          <t>Not Started</t>
        </is>
      </c>
      <c r="Q183" t="inlineStr">
        <is>
          <t>Root</t>
        </is>
      </c>
      <c r="R183" t="inlineStr">
        <is>
          <t>Third Eye</t>
        </is>
      </c>
      <c r="S183" t="inlineStr">
        <is>
          <t>Root</t>
        </is>
      </c>
      <c r="X183" t="inlineStr">
        <is>
          <t>Mineral</t>
        </is>
      </c>
      <c r="Z183" s="3" t="inlineStr">
        <is>
          <t>Protective self-reflection</t>
        </is>
      </c>
      <c r="AA183" s="3" t="inlineStr">
        <is>
          <t>Use when you need to understand what belongs to you and what you may be carrying for someone else.</t>
        </is>
      </c>
      <c r="AB183" s="3" t="n"/>
      <c r="AC183" t="inlineStr">
        <is>
          <t>Protection</t>
        </is>
      </c>
      <c r="AD183" t="inlineStr">
        <is>
          <t>Grounding</t>
        </is>
      </c>
      <c r="AE183" t="inlineStr">
        <is>
          <t>Clarity &amp; Focus</t>
        </is>
      </c>
      <c r="AF183" t="inlineStr">
        <is>
          <t>["Protection","Boundaries","Reflection"]</t>
        </is>
      </c>
      <c r="AK183" t="b">
        <v>0</v>
      </c>
      <c r="AL183" t="inlineStr">
        <is>
          <t>Unreviewed</t>
        </is>
      </c>
      <c r="AM183" t="inlineStr">
        <is>
          <t>Not Started</t>
        </is>
      </c>
      <c r="AN183" t="inlineStr">
        <is>
          <t>Not Started</t>
        </is>
      </c>
      <c r="AO183" t="inlineStr">
        <is>
          <t>Not Started</t>
        </is>
      </c>
      <c r="AP183" t="inlineStr">
        <is>
          <t>Not Started</t>
        </is>
      </c>
      <c r="AR183" t="inlineStr">
        <is>
          <t>v0.3-2026-06-29</t>
        </is>
      </c>
      <c r="AT183" s="3" t="n"/>
    </row>
    <row r="184">
      <c r="A184" t="inlineStr">
        <is>
          <t>C-0081</t>
        </is>
      </c>
      <c r="B184" t="inlineStr">
        <is>
          <t>Black Chalcedony</t>
        </is>
      </c>
      <c r="D184" t="inlineStr">
        <is>
          <t>Quartz</t>
        </is>
      </c>
      <c r="E184" t="inlineStr">
        <is>
          <t>Quartz</t>
        </is>
      </c>
      <c r="F184" t="n">
        <v>3</v>
      </c>
      <c r="G184" t="n">
        <v>17</v>
      </c>
      <c r="H184" t="n">
        <v>81</v>
      </c>
      <c r="I184" t="n">
        <v>81</v>
      </c>
      <c r="J184" t="inlineStr">
        <is>
          <t>Black Amethyst</t>
        </is>
      </c>
      <c r="K184" t="inlineStr">
        <is>
          <t>black-amethyst</t>
        </is>
      </c>
      <c r="L184" t="inlineStr">
        <is>
          <t>Black Kyanite</t>
        </is>
      </c>
      <c r="M184" t="inlineStr">
        <is>
          <t>black-kyanite</t>
        </is>
      </c>
      <c r="N184" t="b">
        <v>0</v>
      </c>
      <c r="O184" t="inlineStr">
        <is>
          <t>black-chalcedony</t>
        </is>
      </c>
      <c r="P184" t="inlineStr">
        <is>
          <t>Not Started</t>
        </is>
      </c>
      <c r="Q184" t="inlineStr">
        <is>
          <t>Root</t>
        </is>
      </c>
      <c r="S184" t="inlineStr">
        <is>
          <t>Root</t>
        </is>
      </c>
      <c r="X184" t="inlineStr">
        <is>
          <t>Mineral</t>
        </is>
      </c>
      <c r="Z184" s="3" t="inlineStr">
        <is>
          <t>Protecting your peace under pressure</t>
        </is>
      </c>
      <c r="AA184" s="3" t="inlineStr">
        <is>
          <t>Use when you need to protect your peace and respond thoughtfully instead of reacting to pressure or provocation.</t>
        </is>
      </c>
      <c r="AB184" s="3" t="n"/>
      <c r="AC184" t="inlineStr">
        <is>
          <t>Protection</t>
        </is>
      </c>
      <c r="AD184" t="inlineStr">
        <is>
          <t>Transformation</t>
        </is>
      </c>
      <c r="AE184" t="inlineStr">
        <is>
          <t>Calm &amp; Peace</t>
        </is>
      </c>
      <c r="AF184" t="inlineStr">
        <is>
          <t>["Protection","Boundaries","Calm"]</t>
        </is>
      </c>
      <c r="AK184" t="b">
        <v>0</v>
      </c>
      <c r="AL184" t="inlineStr">
        <is>
          <t>Unreviewed</t>
        </is>
      </c>
      <c r="AM184" t="inlineStr">
        <is>
          <t>Not Started</t>
        </is>
      </c>
      <c r="AN184" t="inlineStr">
        <is>
          <t>Not Started</t>
        </is>
      </c>
      <c r="AO184" t="inlineStr">
        <is>
          <t>Not Started</t>
        </is>
      </c>
      <c r="AP184" t="inlineStr">
        <is>
          <t>Not Started</t>
        </is>
      </c>
      <c r="AR184" t="inlineStr">
        <is>
          <t>v0.3-2026-06-29</t>
        </is>
      </c>
      <c r="AT184" s="3" t="n"/>
    </row>
    <row r="185">
      <c r="A185" t="inlineStr">
        <is>
          <t>C-0002</t>
        </is>
      </c>
      <c r="B185" t="inlineStr">
        <is>
          <t>Blue Aragonite</t>
        </is>
      </c>
      <c r="D185" t="inlineStr">
        <is>
          <t>Aragonite</t>
        </is>
      </c>
      <c r="E185" t="inlineStr">
        <is>
          <t>Aragonite</t>
        </is>
      </c>
      <c r="F185" t="n">
        <v>3</v>
      </c>
      <c r="G185" t="n">
        <v>17</v>
      </c>
      <c r="H185" t="n">
        <v>2</v>
      </c>
      <c r="I185" t="n">
        <v>2</v>
      </c>
      <c r="J185" t="inlineStr">
        <is>
          <t>Blue Apatite</t>
        </is>
      </c>
      <c r="K185" t="inlineStr">
        <is>
          <t>blue-apatite</t>
        </is>
      </c>
      <c r="L185" t="inlineStr">
        <is>
          <t>Blue Aventurine</t>
        </is>
      </c>
      <c r="M185" t="inlineStr">
        <is>
          <t>blue-aventurine</t>
        </is>
      </c>
      <c r="N185" t="b">
        <v>0</v>
      </c>
      <c r="O185" t="inlineStr">
        <is>
          <t>blue-aragonite</t>
        </is>
      </c>
      <c r="P185" t="inlineStr">
        <is>
          <t>Not Started</t>
        </is>
      </c>
      <c r="Q185" t="inlineStr">
        <is>
          <t>Throat</t>
        </is>
      </c>
      <c r="R185" t="inlineStr">
        <is>
          <t>Third Eye</t>
        </is>
      </c>
      <c r="S185" t="inlineStr">
        <is>
          <t>Throat</t>
        </is>
      </c>
      <c r="X185" t="inlineStr">
        <is>
          <t>Mineral</t>
        </is>
      </c>
      <c r="Z185" s="3" t="inlineStr">
        <is>
          <t>Emotional release</t>
        </is>
      </c>
      <c r="AA185" s="3" t="inlineStr">
        <is>
          <t>Use when you feel emotionally overloaded and need to express what is weighing on you without escalating the situation.</t>
        </is>
      </c>
      <c r="AB185" s="3" t="n"/>
      <c r="AC185" t="inlineStr">
        <is>
          <t>Emotional Balance</t>
        </is>
      </c>
      <c r="AD185" t="inlineStr">
        <is>
          <t>Calm &amp; Peace</t>
        </is>
      </c>
      <c r="AF185" t="inlineStr">
        <is>
          <t>["Calm","Communication","Healing"]</t>
        </is>
      </c>
      <c r="AK185" t="b">
        <v>0</v>
      </c>
      <c r="AL185" t="inlineStr">
        <is>
          <t>Unreviewed</t>
        </is>
      </c>
      <c r="AM185" t="inlineStr">
        <is>
          <t>Not Started</t>
        </is>
      </c>
      <c r="AN185" t="inlineStr">
        <is>
          <t>Not Started</t>
        </is>
      </c>
      <c r="AO185" t="inlineStr">
        <is>
          <t>Not Started</t>
        </is>
      </c>
      <c r="AP185" t="inlineStr">
        <is>
          <t>Not Started</t>
        </is>
      </c>
      <c r="AR185" t="inlineStr">
        <is>
          <t>v0.3-2026-06-29</t>
        </is>
      </c>
      <c r="AT185" s="3" t="n"/>
    </row>
    <row r="186">
      <c r="A186" t="inlineStr">
        <is>
          <t>C-0152</t>
        </is>
      </c>
      <c r="B186" t="inlineStr">
        <is>
          <t>Blue Chert</t>
        </is>
      </c>
      <c r="D186" t="inlineStr">
        <is>
          <t>Aggregate</t>
        </is>
      </c>
      <c r="E186" t="inlineStr">
        <is>
          <t>Chert</t>
        </is>
      </c>
      <c r="F186" t="n">
        <v>3</v>
      </c>
      <c r="G186" t="n">
        <v>17</v>
      </c>
      <c r="H186" t="n">
        <v>152</v>
      </c>
      <c r="I186" t="n">
        <v>152</v>
      </c>
      <c r="J186" t="inlineStr">
        <is>
          <t>Blue Chalcedony</t>
        </is>
      </c>
      <c r="K186" t="inlineStr">
        <is>
          <t>blue-chalcedony</t>
        </is>
      </c>
      <c r="L186" t="inlineStr">
        <is>
          <t>Blue Fluorite</t>
        </is>
      </c>
      <c r="M186" t="inlineStr">
        <is>
          <t>blue-fluorite</t>
        </is>
      </c>
      <c r="N186" t="b">
        <v>0</v>
      </c>
      <c r="O186" t="inlineStr">
        <is>
          <t>blue-chert</t>
        </is>
      </c>
      <c r="P186" t="inlineStr">
        <is>
          <t>Not Started</t>
        </is>
      </c>
      <c r="Q186" t="inlineStr">
        <is>
          <t>Throat</t>
        </is>
      </c>
      <c r="R186" t="inlineStr">
        <is>
          <t>Third Eye</t>
        </is>
      </c>
      <c r="S186" t="inlineStr">
        <is>
          <t>Throat</t>
        </is>
      </c>
      <c r="X186" t="inlineStr">
        <is>
          <t>Rock</t>
        </is>
      </c>
      <c r="Z186" s="3" t="inlineStr">
        <is>
          <t>Practical clarity</t>
        </is>
      </c>
      <c r="AA186" s="3" t="inlineStr">
        <is>
          <t>Use when a situation feels emotionally charged and you need to focus on facts without becoming cold or dismissive.</t>
        </is>
      </c>
      <c r="AB186" s="3" t="n"/>
      <c r="AC186" t="inlineStr">
        <is>
          <t>Clarity &amp; Focus</t>
        </is>
      </c>
      <c r="AD186" t="inlineStr">
        <is>
          <t>Calm &amp; Peace</t>
        </is>
      </c>
      <c r="AF186" t="inlineStr">
        <is>
          <t>["Clarity","Grounding","Communication"]</t>
        </is>
      </c>
      <c r="AK186" t="b">
        <v>0</v>
      </c>
      <c r="AL186" t="inlineStr">
        <is>
          <t>Unreviewed</t>
        </is>
      </c>
      <c r="AM186" t="inlineStr">
        <is>
          <t>Not Started</t>
        </is>
      </c>
      <c r="AN186" t="inlineStr">
        <is>
          <t>Not Started</t>
        </is>
      </c>
      <c r="AO186" t="inlineStr">
        <is>
          <t>Not Started</t>
        </is>
      </c>
      <c r="AP186" t="inlineStr">
        <is>
          <t>Not Started</t>
        </is>
      </c>
      <c r="AR186" t="inlineStr">
        <is>
          <t>v0.3-2026-06-29</t>
        </is>
      </c>
      <c r="AT186" s="3" t="n"/>
    </row>
    <row r="187">
      <c r="A187" t="inlineStr">
        <is>
          <t>C-0160</t>
        </is>
      </c>
      <c r="B187" t="inlineStr">
        <is>
          <t>Blue Opal</t>
        </is>
      </c>
      <c r="D187" t="inlineStr">
        <is>
          <t>Opal</t>
        </is>
      </c>
      <c r="E187" t="inlineStr">
        <is>
          <t>Opal</t>
        </is>
      </c>
      <c r="F187" t="n">
        <v>3</v>
      </c>
      <c r="G187" t="n">
        <v>18</v>
      </c>
      <c r="H187" t="n">
        <v>160</v>
      </c>
      <c r="I187" t="n">
        <v>160</v>
      </c>
      <c r="J187" t="inlineStr">
        <is>
          <t>Blue Lace Agate</t>
        </is>
      </c>
      <c r="K187" t="inlineStr">
        <is>
          <t>blue-lace-agate</t>
        </is>
      </c>
      <c r="L187" t="inlineStr">
        <is>
          <t>Blue Rose Quartz</t>
        </is>
      </c>
      <c r="M187" t="inlineStr">
        <is>
          <t>blue-rose-quartz</t>
        </is>
      </c>
      <c r="N187" t="b">
        <v>0</v>
      </c>
      <c r="O187" t="inlineStr">
        <is>
          <t>blue-opal</t>
        </is>
      </c>
      <c r="P187" t="inlineStr">
        <is>
          <t>Not Started</t>
        </is>
      </c>
      <c r="Q187" t="inlineStr">
        <is>
          <t>Throat</t>
        </is>
      </c>
      <c r="R187" t="inlineStr">
        <is>
          <t>Third Eye</t>
        </is>
      </c>
      <c r="S187" t="inlineStr">
        <is>
          <t>Throat</t>
        </is>
      </c>
      <c r="X187" t="inlineStr">
        <is>
          <t>Mineraloid</t>
        </is>
      </c>
      <c r="Z187" s="3" t="inlineStr">
        <is>
          <t>Gentle expression</t>
        </is>
      </c>
      <c r="AA187" s="3" t="inlineStr">
        <is>
          <t>Use when you need to explain how you feel but fear that emotion will make the conversation harder.</t>
        </is>
      </c>
      <c r="AB187" s="3" t="n"/>
      <c r="AC187" t="inlineStr">
        <is>
          <t>Calm &amp; Peace</t>
        </is>
      </c>
      <c r="AD187" t="inlineStr">
        <is>
          <t>Communication</t>
        </is>
      </c>
      <c r="AF187" t="inlineStr">
        <is>
          <t>["Calm","Communication","Compassion"]</t>
        </is>
      </c>
      <c r="AK187" t="b">
        <v>0</v>
      </c>
      <c r="AL187" t="inlineStr">
        <is>
          <t>Unreviewed</t>
        </is>
      </c>
      <c r="AM187" t="inlineStr">
        <is>
          <t>Not Started</t>
        </is>
      </c>
      <c r="AN187" t="inlineStr">
        <is>
          <t>Not Started</t>
        </is>
      </c>
      <c r="AO187" t="inlineStr">
        <is>
          <t>Not Started</t>
        </is>
      </c>
      <c r="AP187" t="inlineStr">
        <is>
          <t>Not Started</t>
        </is>
      </c>
      <c r="AR187" t="inlineStr">
        <is>
          <t>v0.3-2026-06-29</t>
        </is>
      </c>
      <c r="AT187" s="3" t="n"/>
    </row>
    <row r="188">
      <c r="A188" t="inlineStr">
        <is>
          <t>C-9004</t>
        </is>
      </c>
      <c r="B188" t="inlineStr">
        <is>
          <t>Blue Rose Quartz</t>
        </is>
      </c>
      <c r="D188" t="inlineStr">
        <is>
          <t>Quartz</t>
        </is>
      </c>
      <c r="E188" t="inlineStr">
        <is>
          <t>Quartz</t>
        </is>
      </c>
      <c r="F188" t="n">
        <v>3</v>
      </c>
      <c r="G188" t="n">
        <v>18</v>
      </c>
      <c r="H188" t="n">
        <v>0</v>
      </c>
      <c r="I188" t="n">
        <v>0</v>
      </c>
      <c r="J188" t="inlineStr">
        <is>
          <t>Blue Opal</t>
        </is>
      </c>
      <c r="K188" t="inlineStr">
        <is>
          <t>blue-opal</t>
        </is>
      </c>
      <c r="L188" t="inlineStr">
        <is>
          <t>Blue Tiger's Eye</t>
        </is>
      </c>
      <c r="M188" t="inlineStr">
        <is>
          <t>blue-tiger-s-eye</t>
        </is>
      </c>
      <c r="N188" t="b">
        <v>0</v>
      </c>
      <c r="O188" t="inlineStr">
        <is>
          <t>blue-rose-quartz</t>
        </is>
      </c>
      <c r="P188" t="inlineStr">
        <is>
          <t>Not Started</t>
        </is>
      </c>
      <c r="Q188" t="inlineStr">
        <is>
          <t>Heart</t>
        </is>
      </c>
      <c r="R188" t="inlineStr">
        <is>
          <t>Throat</t>
        </is>
      </c>
      <c r="S188" t="inlineStr">
        <is>
          <t>Heart</t>
        </is>
      </c>
      <c r="X188" t="inlineStr">
        <is>
          <t>Mineral</t>
        </is>
      </c>
      <c r="Z188" s="3" t="inlineStr">
        <is>
          <t>Tender communication</t>
        </is>
      </c>
      <c r="AA188" s="3" t="inlineStr">
        <is>
          <t>Use when you need to talk about something emotionally delicate without becoming overwhelmed or withdrawing.</t>
        </is>
      </c>
      <c r="AB188" s="3" t="n"/>
      <c r="AC188" t="inlineStr">
        <is>
          <t>Calm &amp; Peace</t>
        </is>
      </c>
      <c r="AD188" t="inlineStr">
        <is>
          <t>Communication</t>
        </is>
      </c>
      <c r="AE188" t="inlineStr">
        <is>
          <t>Heart Healing</t>
        </is>
      </c>
      <c r="AF188" t="inlineStr">
        <is>
          <t>["Communication","Compassion","Peace"]</t>
        </is>
      </c>
      <c r="AK188" t="b">
        <v>0</v>
      </c>
      <c r="AL188" t="inlineStr">
        <is>
          <t>Unreviewed</t>
        </is>
      </c>
      <c r="AM188" t="inlineStr">
        <is>
          <t>Not Started</t>
        </is>
      </c>
      <c r="AN188" t="inlineStr">
        <is>
          <t>Not Started</t>
        </is>
      </c>
      <c r="AO188" t="inlineStr">
        <is>
          <t>Not Started</t>
        </is>
      </c>
      <c r="AP188" t="inlineStr">
        <is>
          <t>Not Started</t>
        </is>
      </c>
      <c r="AR188" t="inlineStr">
        <is>
          <t>v0.3-2026-06-29</t>
        </is>
      </c>
      <c r="AT188" s="3" t="n"/>
    </row>
    <row r="189">
      <c r="A189" t="inlineStr">
        <is>
          <t>C-0283</t>
        </is>
      </c>
      <c r="B189" t="inlineStr">
        <is>
          <t>Blue Topaz</t>
        </is>
      </c>
      <c r="D189" t="inlineStr">
        <is>
          <t>Silicates</t>
        </is>
      </c>
      <c r="E189" t="inlineStr">
        <is>
          <t>Topaz</t>
        </is>
      </c>
      <c r="F189" t="n">
        <v>3</v>
      </c>
      <c r="G189" t="n">
        <v>18</v>
      </c>
      <c r="H189" t="n">
        <v>0</v>
      </c>
      <c r="I189" t="n">
        <v>0</v>
      </c>
      <c r="J189" t="inlineStr">
        <is>
          <t>Blue Tiger's Eye</t>
        </is>
      </c>
      <c r="K189" t="inlineStr">
        <is>
          <t>blue-tiger-s-eye</t>
        </is>
      </c>
      <c r="L189" t="inlineStr">
        <is>
          <t>Blue Tourmaline</t>
        </is>
      </c>
      <c r="M189" t="inlineStr">
        <is>
          <t>blue-tourmaline</t>
        </is>
      </c>
      <c r="N189" t="b">
        <v>0</v>
      </c>
      <c r="O189" t="inlineStr">
        <is>
          <t>blue-topaz</t>
        </is>
      </c>
      <c r="P189" t="inlineStr">
        <is>
          <t>Not Started</t>
        </is>
      </c>
      <c r="Q189" t="inlineStr">
        <is>
          <t>Throat</t>
        </is>
      </c>
      <c r="R189" t="inlineStr">
        <is>
          <t>Third Eye</t>
        </is>
      </c>
      <c r="S189" t="inlineStr">
        <is>
          <t>Throat</t>
        </is>
      </c>
      <c r="X189" t="inlineStr">
        <is>
          <t>Mineral</t>
        </is>
      </c>
      <c r="Z189" s="3" t="inlineStr">
        <is>
          <t>Clear communication</t>
        </is>
      </c>
      <c r="AA189" s="3" t="inlineStr">
        <is>
          <t>Use when you understand a subject but need to communicate it clearly, confidently, and without unnecessary complication.</t>
        </is>
      </c>
      <c r="AB189" s="3" t="n"/>
      <c r="AC189" t="inlineStr">
        <is>
          <t>Communication</t>
        </is>
      </c>
      <c r="AD189" t="inlineStr">
        <is>
          <t>Clarity &amp; Focus</t>
        </is>
      </c>
      <c r="AF189" t="inlineStr">
        <is>
          <t>["Communication","Clarity","Confidence"]</t>
        </is>
      </c>
      <c r="AK189" t="b">
        <v>0</v>
      </c>
      <c r="AL189" t="inlineStr">
        <is>
          <t>Unreviewed</t>
        </is>
      </c>
      <c r="AM189" t="inlineStr">
        <is>
          <t>Not Started</t>
        </is>
      </c>
      <c r="AN189" t="inlineStr">
        <is>
          <t>Not Started</t>
        </is>
      </c>
      <c r="AO189" t="inlineStr">
        <is>
          <t>Not Started</t>
        </is>
      </c>
      <c r="AP189" t="inlineStr">
        <is>
          <t>Not Started</t>
        </is>
      </c>
      <c r="AR189" t="inlineStr">
        <is>
          <t>v0.3-2026-06-29</t>
        </is>
      </c>
      <c r="AT189" s="3" t="n"/>
    </row>
    <row r="190">
      <c r="A190" t="inlineStr">
        <is>
          <t>C-0053</t>
        </is>
      </c>
      <c r="B190" t="inlineStr">
        <is>
          <t>Brown Tourmaline</t>
        </is>
      </c>
      <c r="C190" t="inlineStr">
        <is>
          <t>Dravite</t>
        </is>
      </c>
      <c r="D190" t="inlineStr">
        <is>
          <t>Tourmaline</t>
        </is>
      </c>
      <c r="E190" t="inlineStr">
        <is>
          <t>Dravite</t>
        </is>
      </c>
      <c r="F190" t="n">
        <v>3</v>
      </c>
      <c r="G190" t="n">
        <v>18</v>
      </c>
      <c r="H190" t="n">
        <v>53</v>
      </c>
      <c r="I190" t="n">
        <v>53</v>
      </c>
      <c r="J190" t="inlineStr">
        <is>
          <t>Brookite</t>
        </is>
      </c>
      <c r="K190" t="inlineStr">
        <is>
          <t>brookite</t>
        </is>
      </c>
      <c r="L190" t="inlineStr">
        <is>
          <t>Buddstone</t>
        </is>
      </c>
      <c r="M190" t="inlineStr">
        <is>
          <t>buddstone</t>
        </is>
      </c>
      <c r="N190" t="b">
        <v>0</v>
      </c>
      <c r="O190" t="inlineStr">
        <is>
          <t>brown-tourmaline</t>
        </is>
      </c>
      <c r="P190" t="inlineStr">
        <is>
          <t>Not Started</t>
        </is>
      </c>
      <c r="Q190" t="inlineStr">
        <is>
          <t>Root</t>
        </is>
      </c>
      <c r="R190" t="inlineStr">
        <is>
          <t>Earth Star</t>
        </is>
      </c>
      <c r="S190" t="inlineStr">
        <is>
          <t>Root</t>
        </is>
      </c>
      <c r="X190" t="inlineStr">
        <is>
          <t>Mineral</t>
        </is>
      </c>
      <c r="Z190" s="3" t="inlineStr">
        <is>
          <t>Deep grounding</t>
        </is>
      </c>
      <c r="AA190" s="3" t="inlineStr">
        <is>
          <t>Use when stress is pulling you out of your body and you need to return to practical reality and immediate needs.</t>
        </is>
      </c>
      <c r="AB190" s="3" t="n"/>
      <c r="AC190" t="inlineStr">
        <is>
          <t>Grounding</t>
        </is>
      </c>
      <c r="AD190" t="inlineStr">
        <is>
          <t>Protection</t>
        </is>
      </c>
      <c r="AF190" t="inlineStr">
        <is>
          <t>["Grounding","Protection","Stability"]</t>
        </is>
      </c>
      <c r="AK190" t="b">
        <v>0</v>
      </c>
      <c r="AL190" t="inlineStr">
        <is>
          <t>Unreviewed</t>
        </is>
      </c>
      <c r="AM190" t="inlineStr">
        <is>
          <t>Not Started</t>
        </is>
      </c>
      <c r="AN190" t="inlineStr">
        <is>
          <t>Not Started</t>
        </is>
      </c>
      <c r="AO190" t="inlineStr">
        <is>
          <t>Not Started</t>
        </is>
      </c>
      <c r="AP190" t="inlineStr">
        <is>
          <t>Not Started</t>
        </is>
      </c>
      <c r="AR190" t="inlineStr">
        <is>
          <t>v0.3-2026-06-29</t>
        </is>
      </c>
      <c r="AT190" s="3" t="n"/>
    </row>
    <row r="191">
      <c r="A191" t="inlineStr">
        <is>
          <t>C-0287</t>
        </is>
      </c>
      <c r="B191" t="inlineStr">
        <is>
          <t>Buddstone</t>
        </is>
      </c>
      <c r="C191" t="inlineStr">
        <is>
          <t>Transvaal Jade</t>
        </is>
      </c>
      <c r="D191" t="inlineStr">
        <is>
          <t>Silicates</t>
        </is>
      </c>
      <c r="E191" t="inlineStr">
        <is>
          <t>Fuchsite</t>
        </is>
      </c>
      <c r="F191" t="n">
        <v>3</v>
      </c>
      <c r="G191" t="n">
        <v>18</v>
      </c>
      <c r="H191" t="n">
        <v>287</v>
      </c>
      <c r="I191" t="n">
        <v>287</v>
      </c>
      <c r="J191" t="inlineStr">
        <is>
          <t>Brown Tourmaline</t>
        </is>
      </c>
      <c r="K191" t="inlineStr">
        <is>
          <t>brown-tourmaline</t>
        </is>
      </c>
      <c r="L191" t="inlineStr">
        <is>
          <t>Bumblebee Jasper</t>
        </is>
      </c>
      <c r="M191" t="inlineStr">
        <is>
          <t>bumblebee-jasper</t>
        </is>
      </c>
      <c r="N191" t="b">
        <v>0</v>
      </c>
      <c r="O191" t="inlineStr">
        <is>
          <t>buddstone</t>
        </is>
      </c>
      <c r="P191" t="inlineStr">
        <is>
          <t>Not Started</t>
        </is>
      </c>
      <c r="Q191" t="inlineStr">
        <is>
          <t>Heart</t>
        </is>
      </c>
      <c r="S191" t="inlineStr">
        <is>
          <t>Heart</t>
        </is>
      </c>
      <c r="X191" t="inlineStr">
        <is>
          <t>Mineral</t>
        </is>
      </c>
      <c r="Z191" s="3" t="inlineStr">
        <is>
          <t>Steady recovery</t>
        </is>
      </c>
      <c r="AA191" s="3" t="inlineStr">
        <is>
          <t>Use when improvement is happening more slowly than you hoped and you need patience to continue supporting the process.</t>
        </is>
      </c>
      <c r="AB191" s="3" t="n"/>
      <c r="AC191" t="inlineStr">
        <is>
          <t>Heart Healing</t>
        </is>
      </c>
      <c r="AD191" t="inlineStr">
        <is>
          <t>Vitality</t>
        </is>
      </c>
      <c r="AF191" t="inlineStr">
        <is>
          <t>["Recovery","Endurance","Renewal"]</t>
        </is>
      </c>
      <c r="AK191" t="b">
        <v>0</v>
      </c>
      <c r="AL191" t="inlineStr">
        <is>
          <t>Unreviewed</t>
        </is>
      </c>
      <c r="AM191" t="inlineStr">
        <is>
          <t>Not Started</t>
        </is>
      </c>
      <c r="AN191" t="inlineStr">
        <is>
          <t>Not Started</t>
        </is>
      </c>
      <c r="AO191" t="inlineStr">
        <is>
          <t>Not Started</t>
        </is>
      </c>
      <c r="AP191" t="inlineStr">
        <is>
          <t>Not Started</t>
        </is>
      </c>
      <c r="AR191" t="inlineStr">
        <is>
          <t>v0.3-2026-06-29</t>
        </is>
      </c>
      <c r="AT191" s="3" t="n"/>
    </row>
    <row r="192">
      <c r="A192" t="inlineStr">
        <is>
          <t>C-0289</t>
        </is>
      </c>
      <c r="B192" t="inlineStr">
        <is>
          <t>Cacoxenite</t>
        </is>
      </c>
      <c r="D192" t="inlineStr">
        <is>
          <t>Phosphates</t>
        </is>
      </c>
      <c r="E192" t="inlineStr">
        <is>
          <t>Cacoxenite</t>
        </is>
      </c>
      <c r="F192" t="n">
        <v>3</v>
      </c>
      <c r="G192" t="n">
        <v>18</v>
      </c>
      <c r="H192" t="n">
        <v>0</v>
      </c>
      <c r="I192" t="n">
        <v>0</v>
      </c>
      <c r="J192" t="inlineStr">
        <is>
          <t>Bustamite</t>
        </is>
      </c>
      <c r="K192" t="inlineStr">
        <is>
          <t>bustamite</t>
        </is>
      </c>
      <c r="L192" t="inlineStr">
        <is>
          <t>Calligraphy Stone</t>
        </is>
      </c>
      <c r="M192" t="inlineStr">
        <is>
          <t>calligraphy-stone</t>
        </is>
      </c>
      <c r="N192" t="b">
        <v>0</v>
      </c>
      <c r="O192" t="inlineStr">
        <is>
          <t>cacoxenite</t>
        </is>
      </c>
      <c r="P192" t="inlineStr">
        <is>
          <t>Not Started</t>
        </is>
      </c>
      <c r="Q192" t="inlineStr">
        <is>
          <t>Crown</t>
        </is>
      </c>
      <c r="R192" t="inlineStr">
        <is>
          <t>Third Eye</t>
        </is>
      </c>
      <c r="S192" t="inlineStr">
        <is>
          <t>Crown</t>
        </is>
      </c>
      <c r="X192" t="inlineStr">
        <is>
          <t>Mineral</t>
        </is>
      </c>
      <c r="Z192" s="3" t="inlineStr">
        <is>
          <t>Spiritual integration</t>
        </is>
      </c>
      <c r="AA192" s="3" t="inlineStr">
        <is>
          <t>Use when several lessons are arriving at once and you need time to integrate them instead of immediately seeking the next insight.</t>
        </is>
      </c>
      <c r="AB192" s="3" t="n"/>
      <c r="AC192" t="inlineStr">
        <is>
          <t>Spiritual Connection</t>
        </is>
      </c>
      <c r="AD192" t="inlineStr">
        <is>
          <t>Intuition</t>
        </is>
      </c>
      <c r="AF192" t="inlineStr">
        <is>
          <t>["Spirit","Integration","Growth"]</t>
        </is>
      </c>
      <c r="AK192" t="b">
        <v>0</v>
      </c>
      <c r="AL192" t="inlineStr">
        <is>
          <t>Unreviewed</t>
        </is>
      </c>
      <c r="AM192" t="inlineStr">
        <is>
          <t>Not Started</t>
        </is>
      </c>
      <c r="AN192" t="inlineStr">
        <is>
          <t>Not Started</t>
        </is>
      </c>
      <c r="AO192" t="inlineStr">
        <is>
          <t>Not Started</t>
        </is>
      </c>
      <c r="AP192" t="inlineStr">
        <is>
          <t>Not Started</t>
        </is>
      </c>
      <c r="AR192" t="inlineStr">
        <is>
          <t>v0.3-2026-06-29</t>
        </is>
      </c>
      <c r="AT192" s="3" t="n"/>
    </row>
    <row r="193">
      <c r="A193" t="inlineStr">
        <is>
          <t>C-0363</t>
        </is>
      </c>
      <c r="B193" t="inlineStr">
        <is>
          <t>Calligraphy Stone</t>
        </is>
      </c>
      <c r="C193" t="inlineStr">
        <is>
          <t>Arabic Stone; Miriam Stone; Elephant Skin Jasper</t>
        </is>
      </c>
      <c r="D193" t="inlineStr">
        <is>
          <t>Aggregate</t>
        </is>
      </c>
      <c r="E193" t="inlineStr">
        <is>
          <t>Fossil Rock</t>
        </is>
      </c>
      <c r="F193" t="n">
        <v>3</v>
      </c>
      <c r="G193" t="n">
        <v>18</v>
      </c>
      <c r="H193" t="n">
        <v>363</v>
      </c>
      <c r="I193" t="n">
        <v>363</v>
      </c>
      <c r="J193" t="inlineStr">
        <is>
          <t>Cacoxenite</t>
        </is>
      </c>
      <c r="K193" t="inlineStr">
        <is>
          <t>cacoxenite</t>
        </is>
      </c>
      <c r="L193" t="inlineStr">
        <is>
          <t>Caribbean Calcite</t>
        </is>
      </c>
      <c r="M193" t="inlineStr">
        <is>
          <t>caribbean-calcite</t>
        </is>
      </c>
      <c r="N193" t="b">
        <v>0</v>
      </c>
      <c r="O193" t="inlineStr">
        <is>
          <t>calligraphy-stone</t>
        </is>
      </c>
      <c r="P193" t="inlineStr">
        <is>
          <t>Not Started</t>
        </is>
      </c>
      <c r="Q193" t="inlineStr">
        <is>
          <t>Sacral</t>
        </is>
      </c>
      <c r="R193" t="inlineStr">
        <is>
          <t>Third Eye</t>
        </is>
      </c>
      <c r="S193" t="inlineStr">
        <is>
          <t>Sacral</t>
        </is>
      </c>
      <c r="X193" t="inlineStr">
        <is>
          <t>Fossil</t>
        </is>
      </c>
      <c r="Z193" s="3" t="inlineStr">
        <is>
          <t>Adaptive thinking</t>
        </is>
      </c>
      <c r="AA193" s="3" t="inlineStr">
        <is>
          <t>Use when plans keep changing and you need to work with the situation in front of you rather than the one you expected.</t>
        </is>
      </c>
      <c r="AB193" s="3" t="n"/>
      <c r="AC193" t="inlineStr">
        <is>
          <t>Spiritual Connection</t>
        </is>
      </c>
      <c r="AD193" t="inlineStr">
        <is>
          <t>Intuition</t>
        </is>
      </c>
      <c r="AF193" t="inlineStr">
        <is>
          <t>["Adaptability","Creativity","Insight"]</t>
        </is>
      </c>
      <c r="AK193" t="b">
        <v>0</v>
      </c>
      <c r="AL193" t="inlineStr">
        <is>
          <t>Unreviewed</t>
        </is>
      </c>
      <c r="AM193" t="inlineStr">
        <is>
          <t>Not Started</t>
        </is>
      </c>
      <c r="AN193" t="inlineStr">
        <is>
          <t>Not Started</t>
        </is>
      </c>
      <c r="AO193" t="inlineStr">
        <is>
          <t>Not Started</t>
        </is>
      </c>
      <c r="AP193" t="inlineStr">
        <is>
          <t>Not Started</t>
        </is>
      </c>
      <c r="AR193" t="inlineStr">
        <is>
          <t>v0.3-2026-06-29</t>
        </is>
      </c>
      <c r="AT193" s="3" t="n"/>
    </row>
    <row r="194">
      <c r="A194" t="inlineStr">
        <is>
          <t>C-0250</t>
        </is>
      </c>
      <c r="B194" t="inlineStr">
        <is>
          <t>Chiastolite</t>
        </is>
      </c>
      <c r="C194" t="inlineStr">
        <is>
          <t>Cross Stone</t>
        </is>
      </c>
      <c r="D194" t="inlineStr">
        <is>
          <t>Silicates</t>
        </is>
      </c>
      <c r="E194" t="inlineStr">
        <is>
          <t>Andalusite</t>
        </is>
      </c>
      <c r="F194" t="n">
        <v>3</v>
      </c>
      <c r="G194" t="n">
        <v>18</v>
      </c>
      <c r="H194" t="n">
        <v>250</v>
      </c>
      <c r="I194" t="n">
        <v>250</v>
      </c>
      <c r="J194" t="inlineStr">
        <is>
          <t>Chevron Amethyst</t>
        </is>
      </c>
      <c r="K194" t="inlineStr">
        <is>
          <t>chevron-amethyst</t>
        </is>
      </c>
      <c r="L194" t="inlineStr">
        <is>
          <t>Chocolate Calcite</t>
        </is>
      </c>
      <c r="M194" t="inlineStr">
        <is>
          <t>chocolate-calcite</t>
        </is>
      </c>
      <c r="N194" t="b">
        <v>0</v>
      </c>
      <c r="O194" t="inlineStr">
        <is>
          <t>chiastolite</t>
        </is>
      </c>
      <c r="P194" t="inlineStr">
        <is>
          <t>Not Started</t>
        </is>
      </c>
      <c r="Q194" t="inlineStr">
        <is>
          <t>Root</t>
        </is>
      </c>
      <c r="R194" t="inlineStr">
        <is>
          <t>Crown</t>
        </is>
      </c>
      <c r="S194" t="inlineStr">
        <is>
          <t>Root</t>
        </is>
      </c>
      <c r="X194" t="inlineStr">
        <is>
          <t>Mineral</t>
        </is>
      </c>
      <c r="Z194" s="3" t="inlineStr">
        <is>
          <t>Purpose under pressure</t>
        </is>
      </c>
      <c r="AA194" s="3" t="inlineStr">
        <is>
          <t>Use when a difficult period is testing your commitment and you need to remember what makes the effort meaningful.</t>
        </is>
      </c>
      <c r="AB194" s="3" t="n"/>
      <c r="AC194" t="inlineStr">
        <is>
          <t>Protection</t>
        </is>
      </c>
      <c r="AD194" t="inlineStr">
        <is>
          <t>Grounding</t>
        </is>
      </c>
      <c r="AF194" t="inlineStr">
        <is>
          <t>["Protection","Resilience","Purpose"]</t>
        </is>
      </c>
      <c r="AK194" t="b">
        <v>0</v>
      </c>
      <c r="AL194" t="inlineStr">
        <is>
          <t>Unreviewed</t>
        </is>
      </c>
      <c r="AM194" t="inlineStr">
        <is>
          <t>Not Started</t>
        </is>
      </c>
      <c r="AN194" t="inlineStr">
        <is>
          <t>Not Started</t>
        </is>
      </c>
      <c r="AO194" t="inlineStr">
        <is>
          <t>Not Started</t>
        </is>
      </c>
      <c r="AP194" t="inlineStr">
        <is>
          <t>Not Started</t>
        </is>
      </c>
      <c r="AR194" t="inlineStr">
        <is>
          <t>v0.3-2026-06-29</t>
        </is>
      </c>
      <c r="AT194" s="3" t="n"/>
    </row>
    <row r="195">
      <c r="A195" t="inlineStr">
        <is>
          <t>C-0185</t>
        </is>
      </c>
      <c r="B195" t="inlineStr">
        <is>
          <t>Chrysanthemum Stone</t>
        </is>
      </c>
      <c r="D195" t="inlineStr">
        <is>
          <t>Aggregate</t>
        </is>
      </c>
      <c r="E195" t="inlineStr">
        <is>
          <t>Calcite; Celestine</t>
        </is>
      </c>
      <c r="F195" t="n">
        <v>3</v>
      </c>
      <c r="G195" t="n">
        <v>18</v>
      </c>
      <c r="H195" t="n">
        <v>185</v>
      </c>
      <c r="I195" t="n">
        <v>185</v>
      </c>
      <c r="J195" t="inlineStr">
        <is>
          <t>Chocolate Calcite</t>
        </is>
      </c>
      <c r="K195" t="inlineStr">
        <is>
          <t>chocolate-calcite</t>
        </is>
      </c>
      <c r="L195" t="inlineStr">
        <is>
          <t>Chrysoberyl</t>
        </is>
      </c>
      <c r="M195" t="inlineStr">
        <is>
          <t>chrysoberyl</t>
        </is>
      </c>
      <c r="N195" t="b">
        <v>0</v>
      </c>
      <c r="O195" t="inlineStr">
        <is>
          <t>chrysanthemum-stone</t>
        </is>
      </c>
      <c r="P195" t="inlineStr">
        <is>
          <t>Not Started</t>
        </is>
      </c>
      <c r="Q195" t="inlineStr">
        <is>
          <t>Root</t>
        </is>
      </c>
      <c r="R195" t="inlineStr">
        <is>
          <t>Crown</t>
        </is>
      </c>
      <c r="S195" t="inlineStr">
        <is>
          <t>Root</t>
        </is>
      </c>
      <c r="X195" t="inlineStr">
        <is>
          <t>Rock</t>
        </is>
      </c>
      <c r="Z195" s="3" t="inlineStr">
        <is>
          <t>Patient growth</t>
        </is>
      </c>
      <c r="AA195" s="3" t="inlineStr">
        <is>
          <t>Use when progress feels invisible and you need reassurance that steady development is still taking place beneath the surface.</t>
        </is>
      </c>
      <c r="AB195" s="3" t="n"/>
      <c r="AC195" t="inlineStr">
        <is>
          <t>Calm &amp; Peace</t>
        </is>
      </c>
      <c r="AD195" t="inlineStr">
        <is>
          <t>Transformation</t>
        </is>
      </c>
      <c r="AF195" t="inlineStr">
        <is>
          <t>["Growth","Patience","Stability"]</t>
        </is>
      </c>
      <c r="AK195" t="b">
        <v>0</v>
      </c>
      <c r="AL195" t="inlineStr">
        <is>
          <t>Unreviewed</t>
        </is>
      </c>
      <c r="AM195" t="inlineStr">
        <is>
          <t>Not Started</t>
        </is>
      </c>
      <c r="AN195" t="inlineStr">
        <is>
          <t>Not Started</t>
        </is>
      </c>
      <c r="AO195" t="inlineStr">
        <is>
          <t>Not Started</t>
        </is>
      </c>
      <c r="AP195" t="inlineStr">
        <is>
          <t>Not Started</t>
        </is>
      </c>
      <c r="AR195" t="inlineStr">
        <is>
          <t>v0.3-2026-06-29</t>
        </is>
      </c>
      <c r="AT195" s="3" t="n"/>
    </row>
    <row r="196">
      <c r="A196" t="inlineStr">
        <is>
          <t>C-0251</t>
        </is>
      </c>
      <c r="B196" t="inlineStr">
        <is>
          <t>Cinnabrite</t>
        </is>
      </c>
      <c r="D196" t="inlineStr">
        <is>
          <t>Silicates</t>
        </is>
      </c>
      <c r="E196" t="inlineStr">
        <is>
          <t>Meionite; Wairakite; Thulite</t>
        </is>
      </c>
      <c r="F196" t="n">
        <v>3</v>
      </c>
      <c r="G196" t="n">
        <v>18</v>
      </c>
      <c r="H196" t="n">
        <v>251</v>
      </c>
      <c r="I196" t="n">
        <v>251</v>
      </c>
      <c r="J196" t="inlineStr">
        <is>
          <t>Chrysoprase</t>
        </is>
      </c>
      <c r="K196" t="inlineStr">
        <is>
          <t>chrysoprase</t>
        </is>
      </c>
      <c r="L196" t="inlineStr">
        <is>
          <t>Citrine</t>
        </is>
      </c>
      <c r="M196" t="inlineStr">
        <is>
          <t>citrine</t>
        </is>
      </c>
      <c r="N196" t="b">
        <v>0</v>
      </c>
      <c r="O196" t="inlineStr">
        <is>
          <t>cinnabrite</t>
        </is>
      </c>
      <c r="P196" t="inlineStr">
        <is>
          <t>Not Started</t>
        </is>
      </c>
      <c r="Q196" t="inlineStr">
        <is>
          <t>Root</t>
        </is>
      </c>
      <c r="R196" t="inlineStr">
        <is>
          <t>Sacral</t>
        </is>
      </c>
      <c r="S196" t="inlineStr">
        <is>
          <t>Root</t>
        </is>
      </c>
      <c r="X196" t="inlineStr">
        <is>
          <t>Composite</t>
        </is>
      </c>
      <c r="Z196" s="3" t="inlineStr">
        <is>
          <t>Balanced vitality</t>
        </is>
      </c>
      <c r="AA196" s="3" t="inlineStr">
        <is>
          <t>Use when you need more energy but do not want motivation to become agitation, impatience, or overextension.</t>
        </is>
      </c>
      <c r="AB196" s="3" t="n"/>
      <c r="AC196" t="inlineStr">
        <is>
          <t>Protection</t>
        </is>
      </c>
      <c r="AD196" t="inlineStr">
        <is>
          <t>Vitality</t>
        </is>
      </c>
      <c r="AF196" t="inlineStr">
        <is>
          <t>["Vitality","Balance","Grounding"]</t>
        </is>
      </c>
      <c r="AJ196" t="inlineStr">
        <is>
          <t>Composite</t>
        </is>
      </c>
      <c r="AK196" t="b">
        <v>1</v>
      </c>
      <c r="AL196" t="inlineStr">
        <is>
          <t>Unreviewed</t>
        </is>
      </c>
      <c r="AM196" t="inlineStr">
        <is>
          <t>Not Started</t>
        </is>
      </c>
      <c r="AN196" t="inlineStr">
        <is>
          <t>Not Started</t>
        </is>
      </c>
      <c r="AO196" t="inlineStr">
        <is>
          <t>Not Started</t>
        </is>
      </c>
      <c r="AP196" t="inlineStr">
        <is>
          <t>Not Started</t>
        </is>
      </c>
      <c r="AR196" t="inlineStr">
        <is>
          <t>v0.3-2026-06-29</t>
        </is>
      </c>
      <c r="AT196" s="3" t="n"/>
    </row>
    <row r="197">
      <c r="A197" t="inlineStr">
        <is>
          <t>C-0234</t>
        </is>
      </c>
      <c r="B197" t="inlineStr">
        <is>
          <t>Danburite</t>
        </is>
      </c>
      <c r="D197" t="inlineStr">
        <is>
          <t>Silicates</t>
        </is>
      </c>
      <c r="E197" t="inlineStr">
        <is>
          <t>Danburite</t>
        </is>
      </c>
      <c r="F197" t="n">
        <v>3</v>
      </c>
      <c r="G197" t="n">
        <v>19</v>
      </c>
      <c r="H197" t="n">
        <v>234</v>
      </c>
      <c r="I197" t="n">
        <v>234</v>
      </c>
      <c r="J197" t="inlineStr">
        <is>
          <t>Dalmatian Jasper</t>
        </is>
      </c>
      <c r="K197" t="inlineStr">
        <is>
          <t>dalmatian-jasper</t>
        </is>
      </c>
      <c r="L197" t="inlineStr">
        <is>
          <t>Dendritic Agate</t>
        </is>
      </c>
      <c r="M197" t="inlineStr">
        <is>
          <t>dendritic-agate</t>
        </is>
      </c>
      <c r="N197" t="b">
        <v>0</v>
      </c>
      <c r="O197" t="inlineStr">
        <is>
          <t>danburite</t>
        </is>
      </c>
      <c r="P197" t="inlineStr">
        <is>
          <t>Not Started</t>
        </is>
      </c>
      <c r="Q197" t="inlineStr">
        <is>
          <t>Crown</t>
        </is>
      </c>
      <c r="R197" t="inlineStr">
        <is>
          <t>Heart</t>
        </is>
      </c>
      <c r="S197" t="inlineStr">
        <is>
          <t>Crown</t>
        </is>
      </c>
      <c r="X197" t="inlineStr">
        <is>
          <t>Mineral</t>
        </is>
      </c>
      <c r="Z197" s="3" t="inlineStr">
        <is>
          <t>Elevated clarity</t>
        </is>
      </c>
      <c r="AA197" s="3" t="inlineStr">
        <is>
          <t>Use when you want to reconnect with a higher purpose while still making grounded choices in your daily life.</t>
        </is>
      </c>
      <c r="AB197" s="3" t="n"/>
      <c r="AC197" t="inlineStr">
        <is>
          <t>Grounding</t>
        </is>
      </c>
      <c r="AD197" t="inlineStr">
        <is>
          <t>Calm &amp; Peace</t>
        </is>
      </c>
      <c r="AF197" t="inlineStr">
        <is>
          <t>["Spirit","Clarity","Purpose"]</t>
        </is>
      </c>
      <c r="AK197" t="b">
        <v>0</v>
      </c>
      <c r="AL197" t="inlineStr">
        <is>
          <t>Unreviewed</t>
        </is>
      </c>
      <c r="AM197" t="inlineStr">
        <is>
          <t>Not Started</t>
        </is>
      </c>
      <c r="AN197" t="inlineStr">
        <is>
          <t>Not Started</t>
        </is>
      </c>
      <c r="AO197" t="inlineStr">
        <is>
          <t>Not Started</t>
        </is>
      </c>
      <c r="AP197" t="inlineStr">
        <is>
          <t>Not Started</t>
        </is>
      </c>
      <c r="AR197" t="inlineStr">
        <is>
          <t>v0.3-2026-06-29</t>
        </is>
      </c>
      <c r="AT197" s="3" t="n"/>
    </row>
    <row r="198">
      <c r="A198" t="inlineStr">
        <is>
          <t>C-0236</t>
        </is>
      </c>
      <c r="B198" t="inlineStr">
        <is>
          <t>Diopside</t>
        </is>
      </c>
      <c r="D198" t="inlineStr">
        <is>
          <t>Silicates</t>
        </is>
      </c>
      <c r="E198" t="inlineStr">
        <is>
          <t>Diopside</t>
        </is>
      </c>
      <c r="F198" t="n">
        <v>3</v>
      </c>
      <c r="G198" t="n">
        <v>19</v>
      </c>
      <c r="H198" t="n">
        <v>236</v>
      </c>
      <c r="I198" t="n">
        <v>236</v>
      </c>
      <c r="J198" t="inlineStr">
        <is>
          <t>Diaspore</t>
        </is>
      </c>
      <c r="K198" t="inlineStr">
        <is>
          <t>diaspore</t>
        </is>
      </c>
      <c r="L198" t="inlineStr">
        <is>
          <t>Dioptase</t>
        </is>
      </c>
      <c r="M198" t="inlineStr">
        <is>
          <t>dioptase</t>
        </is>
      </c>
      <c r="N198" t="b">
        <v>0</v>
      </c>
      <c r="O198" t="inlineStr">
        <is>
          <t>diopside</t>
        </is>
      </c>
      <c r="P198" t="inlineStr">
        <is>
          <t>Not Started</t>
        </is>
      </c>
      <c r="Q198" t="inlineStr">
        <is>
          <t>Heart</t>
        </is>
      </c>
      <c r="R198" t="inlineStr">
        <is>
          <t>Root</t>
        </is>
      </c>
      <c r="S198" t="inlineStr">
        <is>
          <t>Heart</t>
        </is>
      </c>
      <c r="X198" t="inlineStr">
        <is>
          <t>Mineral</t>
        </is>
      </c>
      <c r="Z198" s="3" t="inlineStr">
        <is>
          <t>Restorative growth</t>
        </is>
      </c>
      <c r="AA198" s="3" t="inlineStr">
        <is>
          <t>Use when you are recovering from exhaustion or disappointment and want to rebuild strength without rushing the process.</t>
        </is>
      </c>
      <c r="AB198" s="3" t="n"/>
      <c r="AC198" t="inlineStr">
        <is>
          <t>Heart Healing</t>
        </is>
      </c>
      <c r="AD198" t="inlineStr">
        <is>
          <t>Grounding</t>
        </is>
      </c>
      <c r="AE198" t="inlineStr">
        <is>
          <t>Transformation</t>
        </is>
      </c>
      <c r="AF198" t="inlineStr">
        <is>
          <t>["Renewal","Healing","Growth"]</t>
        </is>
      </c>
      <c r="AK198" t="b">
        <v>0</v>
      </c>
      <c r="AL198" t="inlineStr">
        <is>
          <t>Unreviewed</t>
        </is>
      </c>
      <c r="AM198" t="inlineStr">
        <is>
          <t>Not Started</t>
        </is>
      </c>
      <c r="AN198" t="inlineStr">
        <is>
          <t>Not Started</t>
        </is>
      </c>
      <c r="AO198" t="inlineStr">
        <is>
          <t>Not Started</t>
        </is>
      </c>
      <c r="AP198" t="inlineStr">
        <is>
          <t>Not Started</t>
        </is>
      </c>
      <c r="AR198" t="inlineStr">
        <is>
          <t>v0.3-2026-06-29</t>
        </is>
      </c>
      <c r="AT198" s="3" t="n"/>
    </row>
    <row r="199">
      <c r="A199" t="inlineStr">
        <is>
          <t>C-0019</t>
        </is>
      </c>
      <c r="B199" t="inlineStr">
        <is>
          <t>Dioptase</t>
        </is>
      </c>
      <c r="D199" t="inlineStr">
        <is>
          <t>Copper Minerals</t>
        </is>
      </c>
      <c r="E199" t="inlineStr">
        <is>
          <t>Dioptase</t>
        </is>
      </c>
      <c r="F199" t="n">
        <v>3</v>
      </c>
      <c r="G199" t="n">
        <v>19</v>
      </c>
      <c r="H199" t="n">
        <v>19</v>
      </c>
      <c r="I199" t="n">
        <v>19</v>
      </c>
      <c r="J199" t="inlineStr">
        <is>
          <t>Diopside</t>
        </is>
      </c>
      <c r="K199" t="inlineStr">
        <is>
          <t>diopside</t>
        </is>
      </c>
      <c r="L199" t="inlineStr">
        <is>
          <t>Dolomite</t>
        </is>
      </c>
      <c r="M199" t="inlineStr">
        <is>
          <t>dolomite</t>
        </is>
      </c>
      <c r="N199" t="b">
        <v>0</v>
      </c>
      <c r="O199" t="inlineStr">
        <is>
          <t>dioptase</t>
        </is>
      </c>
      <c r="P199" t="inlineStr">
        <is>
          <t>Not Started</t>
        </is>
      </c>
      <c r="Q199" t="inlineStr">
        <is>
          <t>Heart</t>
        </is>
      </c>
      <c r="S199" t="inlineStr">
        <is>
          <t>Heart</t>
        </is>
      </c>
      <c r="X199" t="inlineStr">
        <is>
          <t>Mineral</t>
        </is>
      </c>
      <c r="Z199" s="3" t="inlineStr">
        <is>
          <t>Heart healing</t>
        </is>
      </c>
      <c r="AA199" s="3" t="inlineStr">
        <is>
          <t>Use when an old emotional wound is resurfacing and you are ready to meet it without minimizing or becoming overwhelmed.</t>
        </is>
      </c>
      <c r="AB199" s="3" t="n"/>
      <c r="AC199" t="inlineStr">
        <is>
          <t>Heart Healing</t>
        </is>
      </c>
      <c r="AF199" t="inlineStr">
        <is>
          <t>["Healing","Openness","Compassion"]</t>
        </is>
      </c>
      <c r="AK199" t="b">
        <v>0</v>
      </c>
      <c r="AL199" t="inlineStr">
        <is>
          <t>Unreviewed</t>
        </is>
      </c>
      <c r="AM199" t="inlineStr">
        <is>
          <t>Not Started</t>
        </is>
      </c>
      <c r="AN199" t="inlineStr">
        <is>
          <t>Not Started</t>
        </is>
      </c>
      <c r="AO199" t="inlineStr">
        <is>
          <t>Not Started</t>
        </is>
      </c>
      <c r="AP199" t="inlineStr">
        <is>
          <t>Not Started</t>
        </is>
      </c>
      <c r="AR199" t="inlineStr">
        <is>
          <t>v0.3-2026-06-29</t>
        </is>
      </c>
      <c r="AT199" s="3" t="n"/>
    </row>
    <row r="200">
      <c r="A200" t="inlineStr">
        <is>
          <t>C-0301</t>
        </is>
      </c>
      <c r="B200" t="inlineStr">
        <is>
          <t>Dream Quartz</t>
        </is>
      </c>
      <c r="D200" t="inlineStr">
        <is>
          <t>Quartz</t>
        </is>
      </c>
      <c r="E200" t="inlineStr">
        <is>
          <t>Quartz</t>
        </is>
      </c>
      <c r="F200" t="n">
        <v>3</v>
      </c>
      <c r="G200" t="n">
        <v>19</v>
      </c>
      <c r="H200" t="n">
        <v>0</v>
      </c>
      <c r="I200" t="n">
        <v>0</v>
      </c>
      <c r="J200" t="inlineStr">
        <is>
          <t>Dragon's Blood Jasper</t>
        </is>
      </c>
      <c r="K200" t="inlineStr">
        <is>
          <t>dragon-s-blood-jasper</t>
        </is>
      </c>
      <c r="L200" t="inlineStr">
        <is>
          <t>Druzy Agate</t>
        </is>
      </c>
      <c r="M200" t="inlineStr">
        <is>
          <t>druzy-agate</t>
        </is>
      </c>
      <c r="N200" t="b">
        <v>0</v>
      </c>
      <c r="O200" t="inlineStr">
        <is>
          <t>dream-quartz</t>
        </is>
      </c>
      <c r="P200" t="inlineStr">
        <is>
          <t>Not Started</t>
        </is>
      </c>
      <c r="Q200" t="inlineStr">
        <is>
          <t>Third Eye</t>
        </is>
      </c>
      <c r="R200" t="inlineStr">
        <is>
          <t>Crown</t>
        </is>
      </c>
      <c r="S200" t="inlineStr">
        <is>
          <t>Third Eye</t>
        </is>
      </c>
      <c r="X200" t="inlineStr">
        <is>
          <t>Mineral</t>
        </is>
      </c>
      <c r="Z200" s="3" t="inlineStr">
        <is>
          <t>Creative vision</t>
        </is>
      </c>
      <c r="AA200" s="3" t="inlineStr">
        <is>
          <t>Use when your thinking feels boxed in and you need to imagine a possibility that is not limited by your usual assumptions.</t>
        </is>
      </c>
      <c r="AB200" s="3" t="n"/>
      <c r="AC200" t="inlineStr">
        <is>
          <t>Intuition</t>
        </is>
      </c>
      <c r="AD200" t="inlineStr">
        <is>
          <t>Spiritual Connection</t>
        </is>
      </c>
      <c r="AF200" t="inlineStr">
        <is>
          <t>["Imagination","Dreams","Insight"]</t>
        </is>
      </c>
      <c r="AK200" t="b">
        <v>0</v>
      </c>
      <c r="AL200" t="inlineStr">
        <is>
          <t>Unreviewed</t>
        </is>
      </c>
      <c r="AM200" t="inlineStr">
        <is>
          <t>Not Started</t>
        </is>
      </c>
      <c r="AN200" t="inlineStr">
        <is>
          <t>Not Started</t>
        </is>
      </c>
      <c r="AO200" t="inlineStr">
        <is>
          <t>Not Started</t>
        </is>
      </c>
      <c r="AP200" t="inlineStr">
        <is>
          <t>Not Started</t>
        </is>
      </c>
      <c r="AR200" t="inlineStr">
        <is>
          <t>v0.3-2026-06-29</t>
        </is>
      </c>
      <c r="AT200" s="3" t="n"/>
    </row>
    <row r="201">
      <c r="A201" t="inlineStr">
        <is>
          <t>C-0366</t>
        </is>
      </c>
      <c r="B201" t="inlineStr">
        <is>
          <t>Elestial Quartz</t>
        </is>
      </c>
      <c r="C201" t="inlineStr">
        <is>
          <t>Skeletal Quartz; Jacare Quartz; Crocodile Quartz</t>
        </is>
      </c>
      <c r="D201" t="inlineStr">
        <is>
          <t>Quartz</t>
        </is>
      </c>
      <c r="E201" t="inlineStr">
        <is>
          <t>Quartz</t>
        </is>
      </c>
      <c r="F201" t="n">
        <v>3</v>
      </c>
      <c r="G201" t="n">
        <v>19</v>
      </c>
      <c r="H201" t="n">
        <v>0</v>
      </c>
      <c r="I201" t="n">
        <v>0</v>
      </c>
      <c r="J201" t="inlineStr">
        <is>
          <t>Dumortierite</t>
        </is>
      </c>
      <c r="K201" t="inlineStr">
        <is>
          <t>dumortierite</t>
        </is>
      </c>
      <c r="L201" t="inlineStr">
        <is>
          <t>Elite Shungite</t>
        </is>
      </c>
      <c r="M201" t="inlineStr">
        <is>
          <t>elite-shungite</t>
        </is>
      </c>
      <c r="N201" t="b">
        <v>0</v>
      </c>
      <c r="O201" t="inlineStr">
        <is>
          <t>elestial-quartz</t>
        </is>
      </c>
      <c r="P201" t="inlineStr">
        <is>
          <t>Not Started</t>
        </is>
      </c>
      <c r="Q201" t="inlineStr">
        <is>
          <t>Crown</t>
        </is>
      </c>
      <c r="R201" t="inlineStr">
        <is>
          <t>Third Eye</t>
        </is>
      </c>
      <c r="S201" t="inlineStr">
        <is>
          <t>Crown</t>
        </is>
      </c>
      <c r="X201" t="inlineStr">
        <is>
          <t>Mineral</t>
        </is>
      </c>
      <c r="Z201" s="3" t="inlineStr">
        <is>
          <t>Deep integration</t>
        </is>
      </c>
      <c r="AA201" s="3" t="inlineStr">
        <is>
          <t>Use when you are processing a complicated chapter and need to understand how its different layers have shaped you.</t>
        </is>
      </c>
      <c r="AB201" s="3" t="n"/>
      <c r="AC201" t="inlineStr">
        <is>
          <t>Transformation</t>
        </is>
      </c>
      <c r="AD201" t="inlineStr">
        <is>
          <t>Heart Healing</t>
        </is>
      </c>
      <c r="AF201" t="inlineStr">
        <is>
          <t>["Transformation","Integration","Insight"]</t>
        </is>
      </c>
      <c r="AK201" t="b">
        <v>0</v>
      </c>
      <c r="AL201" t="inlineStr">
        <is>
          <t>Unreviewed</t>
        </is>
      </c>
      <c r="AM201" t="inlineStr">
        <is>
          <t>Not Started</t>
        </is>
      </c>
      <c r="AN201" t="inlineStr">
        <is>
          <t>Not Started</t>
        </is>
      </c>
      <c r="AO201" t="inlineStr">
        <is>
          <t>Not Started</t>
        </is>
      </c>
      <c r="AP201" t="inlineStr">
        <is>
          <t>Not Started</t>
        </is>
      </c>
      <c r="AR201" t="inlineStr">
        <is>
          <t>v0.3-2026-06-29</t>
        </is>
      </c>
      <c r="AT201" s="3" t="n"/>
    </row>
    <row r="202">
      <c r="A202" t="inlineStr">
        <is>
          <t>C-0302</t>
        </is>
      </c>
      <c r="B202" t="inlineStr">
        <is>
          <t>Elite Shungite</t>
        </is>
      </c>
      <c r="C202" t="inlineStr">
        <is>
          <t>Noble Shungite</t>
        </is>
      </c>
      <c r="D202" t="inlineStr">
        <is>
          <t>Shungite</t>
        </is>
      </c>
      <c r="E202" t="inlineStr">
        <is>
          <t>Shungite</t>
        </is>
      </c>
      <c r="F202" t="n">
        <v>3</v>
      </c>
      <c r="G202" t="n">
        <v>19</v>
      </c>
      <c r="H202" t="n">
        <v>302</v>
      </c>
      <c r="I202" t="n">
        <v>302</v>
      </c>
      <c r="J202" t="inlineStr">
        <is>
          <t>Elestial Quartz</t>
        </is>
      </c>
      <c r="K202" t="inlineStr">
        <is>
          <t>elestial-quartz</t>
        </is>
      </c>
      <c r="L202" t="inlineStr">
        <is>
          <t>Emerald</t>
        </is>
      </c>
      <c r="M202" t="inlineStr">
        <is>
          <t>emerald</t>
        </is>
      </c>
      <c r="N202" t="b">
        <v>0</v>
      </c>
      <c r="O202" t="inlineStr">
        <is>
          <t>elite-shungite</t>
        </is>
      </c>
      <c r="P202" t="inlineStr">
        <is>
          <t>Not Started</t>
        </is>
      </c>
      <c r="Q202" t="inlineStr">
        <is>
          <t>Root</t>
        </is>
      </c>
      <c r="S202" t="inlineStr">
        <is>
          <t>Root</t>
        </is>
      </c>
      <c r="X202" t="inlineStr">
        <is>
          <t>Mineraloid</t>
        </is>
      </c>
      <c r="Z202" s="3" t="inlineStr">
        <is>
          <t>Deep clearing</t>
        </is>
      </c>
      <c r="AA202" s="3" t="inlineStr">
        <is>
          <t>Use when your surroundings feel dense, overstimulating, or emotionally cluttered and you need a stronger sense of separation.</t>
        </is>
      </c>
      <c r="AB202" s="3" t="n"/>
      <c r="AC202" t="inlineStr">
        <is>
          <t>Protection</t>
        </is>
      </c>
      <c r="AF202" t="inlineStr">
        <is>
          <t>["Purification","Protection","Boundaries"]</t>
        </is>
      </c>
      <c r="AK202" t="b">
        <v>0</v>
      </c>
      <c r="AL202" t="inlineStr">
        <is>
          <t>Unreviewed</t>
        </is>
      </c>
      <c r="AM202" t="inlineStr">
        <is>
          <t>Not Started</t>
        </is>
      </c>
      <c r="AN202" t="inlineStr">
        <is>
          <t>Not Started</t>
        </is>
      </c>
      <c r="AO202" t="inlineStr">
        <is>
          <t>Not Started</t>
        </is>
      </c>
      <c r="AP202" t="inlineStr">
        <is>
          <t>Not Started</t>
        </is>
      </c>
      <c r="AR202" t="inlineStr">
        <is>
          <t>v0.3-2026-06-29</t>
        </is>
      </c>
      <c r="AT202" s="3" t="n"/>
    </row>
    <row r="203">
      <c r="A203" t="inlineStr">
        <is>
          <t>C-0022</t>
        </is>
      </c>
      <c r="B203" t="inlineStr">
        <is>
          <t>Emerald</t>
        </is>
      </c>
      <c r="D203" t="inlineStr">
        <is>
          <t>Beryl</t>
        </is>
      </c>
      <c r="E203" t="inlineStr">
        <is>
          <t>Beryl</t>
        </is>
      </c>
      <c r="F203" t="n">
        <v>3</v>
      </c>
      <c r="G203" t="n">
        <v>19</v>
      </c>
      <c r="H203" t="n">
        <v>22</v>
      </c>
      <c r="I203" t="n">
        <v>22</v>
      </c>
      <c r="J203" t="inlineStr">
        <is>
          <t>Elite Shungite</t>
        </is>
      </c>
      <c r="K203" t="inlineStr">
        <is>
          <t>elite-shungite</t>
        </is>
      </c>
      <c r="L203" t="inlineStr">
        <is>
          <t>Enhydro Quartz</t>
        </is>
      </c>
      <c r="M203" t="inlineStr">
        <is>
          <t>enhydro-quartz</t>
        </is>
      </c>
      <c r="N203" t="b">
        <v>0</v>
      </c>
      <c r="O203" t="inlineStr">
        <is>
          <t>emerald</t>
        </is>
      </c>
      <c r="P203" t="inlineStr">
        <is>
          <t>Not Started</t>
        </is>
      </c>
      <c r="Q203" t="inlineStr">
        <is>
          <t>Heart</t>
        </is>
      </c>
      <c r="S203" t="inlineStr">
        <is>
          <t>Heart</t>
        </is>
      </c>
      <c r="X203" t="inlineStr">
        <is>
          <t>Mineral</t>
        </is>
      </c>
      <c r="Z203" s="3" t="inlineStr">
        <is>
          <t>Lasting growth</t>
        </is>
      </c>
      <c r="AA203" s="3" t="inlineStr">
        <is>
          <t>Use when you want to strengthen a relationship, commitment, or goal through steady care rather than dramatic gestures.</t>
        </is>
      </c>
      <c r="AB203" s="3" t="n"/>
      <c r="AC203" t="inlineStr">
        <is>
          <t>Heart Healing</t>
        </is>
      </c>
      <c r="AD203" t="inlineStr">
        <is>
          <t>Manifestation</t>
        </is>
      </c>
      <c r="AF203" t="inlineStr">
        <is>
          <t>["Love","Loyalty","Abundance"]</t>
        </is>
      </c>
      <c r="AK203" t="b">
        <v>0</v>
      </c>
      <c r="AL203" t="inlineStr">
        <is>
          <t>Unreviewed</t>
        </is>
      </c>
      <c r="AM203" t="inlineStr">
        <is>
          <t>Not Started</t>
        </is>
      </c>
      <c r="AN203" t="inlineStr">
        <is>
          <t>Not Started</t>
        </is>
      </c>
      <c r="AO203" t="inlineStr">
        <is>
          <t>Not Started</t>
        </is>
      </c>
      <c r="AP203" t="inlineStr">
        <is>
          <t>Not Started</t>
        </is>
      </c>
      <c r="AR203" t="inlineStr">
        <is>
          <t>v0.3-2026-06-29</t>
        </is>
      </c>
      <c r="AT203" s="3" t="n"/>
    </row>
    <row r="204">
      <c r="A204" t="inlineStr">
        <is>
          <t>C-0239</t>
        </is>
      </c>
      <c r="B204" t="inlineStr">
        <is>
          <t>Eudialyte</t>
        </is>
      </c>
      <c r="D204" t="inlineStr">
        <is>
          <t>Silicates</t>
        </is>
      </c>
      <c r="E204" t="inlineStr">
        <is>
          <t>Eudialyte</t>
        </is>
      </c>
      <c r="F204" t="n">
        <v>3</v>
      </c>
      <c r="G204" t="n">
        <v>19</v>
      </c>
      <c r="H204" t="n">
        <v>239</v>
      </c>
      <c r="I204" t="n">
        <v>239</v>
      </c>
      <c r="J204" t="inlineStr">
        <is>
          <t>Epidote</t>
        </is>
      </c>
      <c r="K204" t="inlineStr">
        <is>
          <t>epidote</t>
        </is>
      </c>
      <c r="L204" t="inlineStr">
        <is>
          <t>Faden Quartz</t>
        </is>
      </c>
      <c r="M204" t="inlineStr">
        <is>
          <t>faden-quartz</t>
        </is>
      </c>
      <c r="N204" t="b">
        <v>0</v>
      </c>
      <c r="O204" t="inlineStr">
        <is>
          <t>eudialyte</t>
        </is>
      </c>
      <c r="P204" t="inlineStr">
        <is>
          <t>Not Started</t>
        </is>
      </c>
      <c r="Q204" t="inlineStr">
        <is>
          <t>Root</t>
        </is>
      </c>
      <c r="R204" t="inlineStr">
        <is>
          <t>Heart</t>
        </is>
      </c>
      <c r="S204" t="inlineStr">
        <is>
          <t>Root</t>
        </is>
      </c>
      <c r="X204" t="inlineStr">
        <is>
          <t>Mineral</t>
        </is>
      </c>
      <c r="Z204" s="3" t="inlineStr">
        <is>
          <t>Purposeful identity</t>
        </is>
      </c>
      <c r="AA204" s="3" t="inlineStr">
        <is>
          <t>Use when comparison is making you question whether your particular strengths or path have enough value.</t>
        </is>
      </c>
      <c r="AB204" s="3" t="n"/>
      <c r="AC204" t="inlineStr">
        <is>
          <t>Heart Healing</t>
        </is>
      </c>
      <c r="AD204" t="inlineStr">
        <is>
          <t>Vitality</t>
        </is>
      </c>
      <c r="AE204" t="inlineStr">
        <is>
          <t>Spiritual Connection</t>
        </is>
      </c>
      <c r="AF204" t="inlineStr">
        <is>
          <t>["Purpose","Worth","Vitality"]</t>
        </is>
      </c>
      <c r="AK204" t="b">
        <v>0</v>
      </c>
      <c r="AL204" t="inlineStr">
        <is>
          <t>Unreviewed</t>
        </is>
      </c>
      <c r="AM204" t="inlineStr">
        <is>
          <t>Not Started</t>
        </is>
      </c>
      <c r="AN204" t="inlineStr">
        <is>
          <t>Not Started</t>
        </is>
      </c>
      <c r="AO204" t="inlineStr">
        <is>
          <t>Not Started</t>
        </is>
      </c>
      <c r="AP204" t="inlineStr">
        <is>
          <t>Not Started</t>
        </is>
      </c>
      <c r="AR204" t="inlineStr">
        <is>
          <t>v0.3-2026-06-29</t>
        </is>
      </c>
      <c r="AT204" s="3" t="n"/>
    </row>
    <row r="205">
      <c r="A205" t="inlineStr">
        <is>
          <t>C-0304</t>
        </is>
      </c>
      <c r="B205" t="inlineStr">
        <is>
          <t>Faden Quartz</t>
        </is>
      </c>
      <c r="D205" t="inlineStr">
        <is>
          <t>Quartz</t>
        </is>
      </c>
      <c r="E205" t="inlineStr">
        <is>
          <t>Quartz</t>
        </is>
      </c>
      <c r="F205" t="n">
        <v>3</v>
      </c>
      <c r="G205" t="n">
        <v>20</v>
      </c>
      <c r="H205" t="n">
        <v>0</v>
      </c>
      <c r="I205" t="n">
        <v>0</v>
      </c>
      <c r="J205" t="inlineStr">
        <is>
          <t>Eudialyte</t>
        </is>
      </c>
      <c r="K205" t="inlineStr">
        <is>
          <t>eudialyte</t>
        </is>
      </c>
      <c r="L205" t="inlineStr">
        <is>
          <t>Fancy Jasper</t>
        </is>
      </c>
      <c r="M205" t="inlineStr">
        <is>
          <t>fancy-jasper</t>
        </is>
      </c>
      <c r="N205" t="b">
        <v>0</v>
      </c>
      <c r="O205" t="inlineStr">
        <is>
          <t>faden-quartz</t>
        </is>
      </c>
      <c r="P205" t="inlineStr">
        <is>
          <t>Not Started</t>
        </is>
      </c>
      <c r="Q205" t="inlineStr">
        <is>
          <t>Heart</t>
        </is>
      </c>
      <c r="R205" t="inlineStr">
        <is>
          <t>Crown</t>
        </is>
      </c>
      <c r="S205" t="inlineStr">
        <is>
          <t>Heart</t>
        </is>
      </c>
      <c r="X205" t="inlineStr">
        <is>
          <t>Mineral</t>
        </is>
      </c>
      <c r="Z205" s="3" t="inlineStr">
        <is>
          <t>Repairing what feels fractured</t>
        </is>
      </c>
      <c r="AA205" s="3" t="inlineStr">
        <is>
          <t>Use when a relationship, plan, or part of yourself feels fractured and you want to explore what can be repaired without pretending nothing changed.</t>
        </is>
      </c>
      <c r="AB205" s="3" t="n"/>
      <c r="AC205" t="inlineStr">
        <is>
          <t>Heart Healing</t>
        </is>
      </c>
      <c r="AD205" t="inlineStr">
        <is>
          <t>Confidence</t>
        </is>
      </c>
      <c r="AF205" t="inlineStr">
        <is>
          <t>["Healing","Connection","Resilience"]</t>
        </is>
      </c>
      <c r="AK205" t="b">
        <v>0</v>
      </c>
      <c r="AL205" t="inlineStr">
        <is>
          <t>Unreviewed</t>
        </is>
      </c>
      <c r="AM205" t="inlineStr">
        <is>
          <t>Not Started</t>
        </is>
      </c>
      <c r="AN205" t="inlineStr">
        <is>
          <t>Not Started</t>
        </is>
      </c>
      <c r="AO205" t="inlineStr">
        <is>
          <t>Not Started</t>
        </is>
      </c>
      <c r="AP205" t="inlineStr">
        <is>
          <t>Not Started</t>
        </is>
      </c>
      <c r="AR205" t="inlineStr">
        <is>
          <t>v0.3-2026-06-29</t>
        </is>
      </c>
      <c r="AT205" s="3" t="n"/>
    </row>
    <row r="206">
      <c r="A206" t="inlineStr">
        <is>
          <t>C-0305</t>
        </is>
      </c>
      <c r="B206" t="inlineStr">
        <is>
          <t>Fancy Jasper</t>
        </is>
      </c>
      <c r="D206" t="inlineStr">
        <is>
          <t>Quartz</t>
        </is>
      </c>
      <c r="E206" t="inlineStr">
        <is>
          <t>Jasper</t>
        </is>
      </c>
      <c r="F206" t="n">
        <v>3</v>
      </c>
      <c r="G206" t="n">
        <v>20</v>
      </c>
      <c r="H206" t="n">
        <v>0</v>
      </c>
      <c r="I206" t="n">
        <v>0</v>
      </c>
      <c r="J206" t="inlineStr">
        <is>
          <t>Faden Quartz</t>
        </is>
      </c>
      <c r="K206" t="inlineStr">
        <is>
          <t>faden-quartz</t>
        </is>
      </c>
      <c r="L206" t="inlineStr">
        <is>
          <t>Fire Agate</t>
        </is>
      </c>
      <c r="M206" t="inlineStr">
        <is>
          <t>fire-agate</t>
        </is>
      </c>
      <c r="N206" t="b">
        <v>0</v>
      </c>
      <c r="O206" t="inlineStr">
        <is>
          <t>fancy-jasper</t>
        </is>
      </c>
      <c r="P206" t="inlineStr">
        <is>
          <t>Not Started</t>
        </is>
      </c>
      <c r="Q206" t="inlineStr">
        <is>
          <t>Root</t>
        </is>
      </c>
      <c r="R206" t="inlineStr">
        <is>
          <t>Heart</t>
        </is>
      </c>
      <c r="S206" t="inlineStr">
        <is>
          <t>Root</t>
        </is>
      </c>
      <c r="X206" t="inlineStr">
        <is>
          <t>Mineral</t>
        </is>
      </c>
      <c r="Z206" s="3" t="inlineStr">
        <is>
          <t>Balanced adaptability</t>
        </is>
      </c>
      <c r="AA206" s="3" t="inlineStr">
        <is>
          <t>Use when several areas of life are shifting at once and you need to remain flexible without losing your center.</t>
        </is>
      </c>
      <c r="AB206" s="3" t="n"/>
      <c r="AC206" t="inlineStr">
        <is>
          <t>Calm &amp; Peace</t>
        </is>
      </c>
      <c r="AD206" t="inlineStr">
        <is>
          <t>Grounding</t>
        </is>
      </c>
      <c r="AF206" t="inlineStr">
        <is>
          <t>["Balance","Stability","Adaptability"]</t>
        </is>
      </c>
      <c r="AK206" t="b">
        <v>0</v>
      </c>
      <c r="AL206" t="inlineStr">
        <is>
          <t>Unreviewed</t>
        </is>
      </c>
      <c r="AM206" t="inlineStr">
        <is>
          <t>Not Started</t>
        </is>
      </c>
      <c r="AN206" t="inlineStr">
        <is>
          <t>Not Started</t>
        </is>
      </c>
      <c r="AO206" t="inlineStr">
        <is>
          <t>Not Started</t>
        </is>
      </c>
      <c r="AP206" t="inlineStr">
        <is>
          <t>Not Started</t>
        </is>
      </c>
      <c r="AR206" t="inlineStr">
        <is>
          <t>v0.3-2026-06-29</t>
        </is>
      </c>
      <c r="AT206" s="3" t="n"/>
    </row>
    <row r="207">
      <c r="A207" t="inlineStr">
        <is>
          <t>C-0306</t>
        </is>
      </c>
      <c r="B207" t="inlineStr">
        <is>
          <t>Fire Opal</t>
        </is>
      </c>
      <c r="D207" t="inlineStr">
        <is>
          <t>Opal</t>
        </is>
      </c>
      <c r="E207" t="inlineStr">
        <is>
          <t>Opal</t>
        </is>
      </c>
      <c r="F207" t="n">
        <v>3</v>
      </c>
      <c r="G207" t="n">
        <v>20</v>
      </c>
      <c r="H207" t="n">
        <v>306</v>
      </c>
      <c r="I207" t="n">
        <v>306</v>
      </c>
      <c r="J207" t="inlineStr">
        <is>
          <t>Fire Agate</t>
        </is>
      </c>
      <c r="K207" t="inlineStr">
        <is>
          <t>fire-agate</t>
        </is>
      </c>
      <c r="L207" t="inlineStr">
        <is>
          <t>Flower Agate</t>
        </is>
      </c>
      <c r="M207" t="inlineStr">
        <is>
          <t>flower-agate</t>
        </is>
      </c>
      <c r="N207" t="b">
        <v>0</v>
      </c>
      <c r="O207" t="inlineStr">
        <is>
          <t>fire-opal</t>
        </is>
      </c>
      <c r="P207" t="inlineStr">
        <is>
          <t>Not Started</t>
        </is>
      </c>
      <c r="Q207" t="inlineStr">
        <is>
          <t>Sacral</t>
        </is>
      </c>
      <c r="R207" t="inlineStr">
        <is>
          <t>Solar Plexus</t>
        </is>
      </c>
      <c r="S207" t="inlineStr">
        <is>
          <t>Sacral</t>
        </is>
      </c>
      <c r="X207" t="inlineStr">
        <is>
          <t>Mineraloid</t>
        </is>
      </c>
      <c r="Z207" s="3" t="inlineStr">
        <is>
          <t>Creative passion</t>
        </is>
      </c>
      <c r="AA207" s="3" t="inlineStr">
        <is>
          <t>Use when you feel disconnected from excitement and want to recover a more vivid sense of desire or creative possibility.</t>
        </is>
      </c>
      <c r="AB207" s="3" t="n"/>
      <c r="AC207" t="inlineStr">
        <is>
          <t>Vitality</t>
        </is>
      </c>
      <c r="AD207" t="inlineStr">
        <is>
          <t>Joy</t>
        </is>
      </c>
      <c r="AF207" t="inlineStr">
        <is>
          <t>["Passion","Creativity","Vitality"]</t>
        </is>
      </c>
      <c r="AK207" t="b">
        <v>0</v>
      </c>
      <c r="AL207" t="inlineStr">
        <is>
          <t>Unreviewed</t>
        </is>
      </c>
      <c r="AM207" t="inlineStr">
        <is>
          <t>Not Started</t>
        </is>
      </c>
      <c r="AN207" t="inlineStr">
        <is>
          <t>Not Started</t>
        </is>
      </c>
      <c r="AO207" t="inlineStr">
        <is>
          <t>Not Started</t>
        </is>
      </c>
      <c r="AP207" t="inlineStr">
        <is>
          <t>Not Started</t>
        </is>
      </c>
      <c r="AR207" t="inlineStr">
        <is>
          <t>v0.3-2026-06-29</t>
        </is>
      </c>
      <c r="AT207" s="3" t="n"/>
    </row>
    <row r="208">
      <c r="A208" t="inlineStr">
        <is>
          <t>C-0156</t>
        </is>
      </c>
      <c r="B208" t="inlineStr">
        <is>
          <t>Fulgurite</t>
        </is>
      </c>
      <c r="D208" t="inlineStr">
        <is>
          <t>Other Mineral</t>
        </is>
      </c>
      <c r="E208" t="inlineStr">
        <is>
          <t>Fulgurite</t>
        </is>
      </c>
      <c r="F208" t="n">
        <v>3</v>
      </c>
      <c r="G208" t="n">
        <v>20</v>
      </c>
      <c r="H208" t="n">
        <v>156</v>
      </c>
      <c r="I208" t="n">
        <v>156</v>
      </c>
      <c r="J208" t="inlineStr">
        <is>
          <t>Fuchsite</t>
        </is>
      </c>
      <c r="K208" t="inlineStr">
        <is>
          <t>fuchsite</t>
        </is>
      </c>
      <c r="L208" t="inlineStr">
        <is>
          <t>Galena</t>
        </is>
      </c>
      <c r="M208" t="inlineStr">
        <is>
          <t>galena</t>
        </is>
      </c>
      <c r="N208" t="b">
        <v>0</v>
      </c>
      <c r="O208" t="inlineStr">
        <is>
          <t>fulgurite</t>
        </is>
      </c>
      <c r="P208" t="inlineStr">
        <is>
          <t>Not Started</t>
        </is>
      </c>
      <c r="Q208" t="inlineStr">
        <is>
          <t>Solar Plexus</t>
        </is>
      </c>
      <c r="S208" t="inlineStr">
        <is>
          <t>Solar Plexus</t>
        </is>
      </c>
      <c r="X208" t="inlineStr">
        <is>
          <t>Mineraloid</t>
        </is>
      </c>
      <c r="Z208" s="3" t="inlineStr">
        <is>
          <t>Decisive breakthrough</t>
        </is>
      </c>
      <c r="AA208" s="3" t="inlineStr">
        <is>
          <t>Use when you have delayed an important change and need a clear moment of commitment.</t>
        </is>
      </c>
      <c r="AB208" s="3" t="n"/>
      <c r="AC208" t="inlineStr">
        <is>
          <t>Clarity &amp; Focus</t>
        </is>
      </c>
      <c r="AD208" t="inlineStr">
        <is>
          <t>Transformation</t>
        </is>
      </c>
      <c r="AF208" t="inlineStr">
        <is>
          <t>["Breakthrough","Transformation","Focus"]</t>
        </is>
      </c>
      <c r="AK208" t="b">
        <v>0</v>
      </c>
      <c r="AL208" t="inlineStr">
        <is>
          <t>Unreviewed</t>
        </is>
      </c>
      <c r="AM208" t="inlineStr">
        <is>
          <t>Not Started</t>
        </is>
      </c>
      <c r="AN208" t="inlineStr">
        <is>
          <t>Not Started</t>
        </is>
      </c>
      <c r="AO208" t="inlineStr">
        <is>
          <t>Not Started</t>
        </is>
      </c>
      <c r="AP208" t="inlineStr">
        <is>
          <t>Not Started</t>
        </is>
      </c>
      <c r="AR208" t="inlineStr">
        <is>
          <t>v0.3-2026-06-29</t>
        </is>
      </c>
      <c r="AT208" s="3" t="n"/>
    </row>
    <row r="209">
      <c r="A209" t="inlineStr">
        <is>
          <t>C-0136</t>
        </is>
      </c>
      <c r="B209" t="inlineStr">
        <is>
          <t>Galena</t>
        </is>
      </c>
      <c r="D209" t="inlineStr">
        <is>
          <t>Sulfides</t>
        </is>
      </c>
      <c r="E209" t="inlineStr">
        <is>
          <t>Galena</t>
        </is>
      </c>
      <c r="F209" t="n">
        <v>3</v>
      </c>
      <c r="G209" t="n">
        <v>20</v>
      </c>
      <c r="H209" t="n">
        <v>136</v>
      </c>
      <c r="I209" t="n">
        <v>136</v>
      </c>
      <c r="J209" t="inlineStr">
        <is>
          <t>Fulgurite</t>
        </is>
      </c>
      <c r="K209" t="inlineStr">
        <is>
          <t>fulgurite</t>
        </is>
      </c>
      <c r="L209" t="inlineStr">
        <is>
          <t>Garnet</t>
        </is>
      </c>
      <c r="M209" t="inlineStr">
        <is>
          <t>garnet</t>
        </is>
      </c>
      <c r="N209" t="b">
        <v>0</v>
      </c>
      <c r="O209" t="inlineStr">
        <is>
          <t>galena</t>
        </is>
      </c>
      <c r="P209" t="inlineStr">
        <is>
          <t>Not Started</t>
        </is>
      </c>
      <c r="Q209" t="inlineStr">
        <is>
          <t>Root</t>
        </is>
      </c>
      <c r="R209" t="inlineStr">
        <is>
          <t>Earth Star</t>
        </is>
      </c>
      <c r="S209" t="inlineStr">
        <is>
          <t>Root</t>
        </is>
      </c>
      <c r="X209" t="inlineStr">
        <is>
          <t>Mineral</t>
        </is>
      </c>
      <c r="Z209" s="3" t="inlineStr">
        <is>
          <t>Strong boundaries</t>
        </is>
      </c>
      <c r="AA209" s="3" t="inlineStr">
        <is>
          <t>Use when you feel weighed down by responsibilities or environments that are asking more from you than you can sustainably give.</t>
        </is>
      </c>
      <c r="AB209" s="3" t="n"/>
      <c r="AC209" t="inlineStr">
        <is>
          <t>Grounding</t>
        </is>
      </c>
      <c r="AD209" t="inlineStr">
        <is>
          <t>Transformation</t>
        </is>
      </c>
      <c r="AF209" t="inlineStr">
        <is>
          <t>["Grounding","Protection","Boundaries"]</t>
        </is>
      </c>
      <c r="AK209" t="b">
        <v>0</v>
      </c>
      <c r="AL209" t="inlineStr">
        <is>
          <t>Unreviewed</t>
        </is>
      </c>
      <c r="AM209" t="inlineStr">
        <is>
          <t>Not Started</t>
        </is>
      </c>
      <c r="AN209" t="inlineStr">
        <is>
          <t>Not Started</t>
        </is>
      </c>
      <c r="AO209" t="inlineStr">
        <is>
          <t>Not Started</t>
        </is>
      </c>
      <c r="AP209" t="inlineStr">
        <is>
          <t>Not Started</t>
        </is>
      </c>
      <c r="AR209" t="inlineStr">
        <is>
          <t>v0.3-2026-06-29</t>
        </is>
      </c>
      <c r="AT209" s="3" t="n"/>
    </row>
    <row r="210">
      <c r="A210" t="inlineStr">
        <is>
          <t>C-0040</t>
        </is>
      </c>
      <c r="B210" t="inlineStr">
        <is>
          <t>Goethite</t>
        </is>
      </c>
      <c r="D210" t="inlineStr">
        <is>
          <t>Iron Minerals</t>
        </is>
      </c>
      <c r="E210" t="inlineStr">
        <is>
          <t>Goethite</t>
        </is>
      </c>
      <c r="F210" t="n">
        <v>3</v>
      </c>
      <c r="G210" t="n">
        <v>20</v>
      </c>
      <c r="H210" t="n">
        <v>40</v>
      </c>
      <c r="I210" t="n">
        <v>40</v>
      </c>
      <c r="J210" t="inlineStr">
        <is>
          <t>Gaspeite</t>
        </is>
      </c>
      <c r="K210" t="inlineStr">
        <is>
          <t>gaspeite</t>
        </is>
      </c>
      <c r="L210" t="inlineStr">
        <is>
          <t>Gold Sheen Obsidian</t>
        </is>
      </c>
      <c r="M210" t="inlineStr">
        <is>
          <t>gold-sheen-obsidian</t>
        </is>
      </c>
      <c r="N210" t="b">
        <v>0</v>
      </c>
      <c r="O210" t="inlineStr">
        <is>
          <t>goethite</t>
        </is>
      </c>
      <c r="P210" t="inlineStr">
        <is>
          <t>Not Started</t>
        </is>
      </c>
      <c r="Q210" t="inlineStr">
        <is>
          <t>Root</t>
        </is>
      </c>
      <c r="R210" t="inlineStr">
        <is>
          <t>Earth Star</t>
        </is>
      </c>
      <c r="S210" t="inlineStr">
        <is>
          <t>Root</t>
        </is>
      </c>
      <c r="X210" t="inlineStr">
        <is>
          <t>Mineral</t>
        </is>
      </c>
      <c r="Z210" s="3" t="inlineStr">
        <is>
          <t>Steady perseverance</t>
        </is>
      </c>
      <c r="AA210" s="3" t="inlineStr">
        <is>
          <t>Use when progress is difficult and you need determination that is steady rather than harsh or relentless.</t>
        </is>
      </c>
      <c r="AB210" s="3" t="n"/>
      <c r="AC210" t="inlineStr">
        <is>
          <t>Grounding</t>
        </is>
      </c>
      <c r="AD210" t="inlineStr">
        <is>
          <t>Transformation</t>
        </is>
      </c>
      <c r="AF210" t="inlineStr">
        <is>
          <t>["Grounding","Perseverance","Strength"]</t>
        </is>
      </c>
      <c r="AK210" t="b">
        <v>0</v>
      </c>
      <c r="AL210" t="inlineStr">
        <is>
          <t>Unreviewed</t>
        </is>
      </c>
      <c r="AM210" t="inlineStr">
        <is>
          <t>Not Started</t>
        </is>
      </c>
      <c r="AN210" t="inlineStr">
        <is>
          <t>Not Started</t>
        </is>
      </c>
      <c r="AO210" t="inlineStr">
        <is>
          <t>Not Started</t>
        </is>
      </c>
      <c r="AP210" t="inlineStr">
        <is>
          <t>Not Started</t>
        </is>
      </c>
      <c r="AR210" t="inlineStr">
        <is>
          <t>v0.3-2026-06-29</t>
        </is>
      </c>
      <c r="AT210" s="3" t="n"/>
    </row>
    <row r="211">
      <c r="A211" t="inlineStr">
        <is>
          <t>C-0311</t>
        </is>
      </c>
      <c r="B211" t="inlineStr">
        <is>
          <t>Golden Labradorite</t>
        </is>
      </c>
      <c r="C211" t="inlineStr">
        <is>
          <t>Yellow Labradorite; Bytownite</t>
        </is>
      </c>
      <c r="D211" t="inlineStr">
        <is>
          <t>Feldspar</t>
        </is>
      </c>
      <c r="E211" t="inlineStr">
        <is>
          <t>Plagioclase</t>
        </is>
      </c>
      <c r="F211" t="n">
        <v>3</v>
      </c>
      <c r="G211" t="n">
        <v>20</v>
      </c>
      <c r="H211" t="n">
        <v>311</v>
      </c>
      <c r="I211" t="n">
        <v>311</v>
      </c>
      <c r="J211" t="inlineStr">
        <is>
          <t>Golden Healer Quartz</t>
        </is>
      </c>
      <c r="K211" t="inlineStr">
        <is>
          <t>golden-healer-quartz</t>
        </is>
      </c>
      <c r="L211" t="inlineStr">
        <is>
          <t>Goldstone</t>
        </is>
      </c>
      <c r="M211" t="inlineStr">
        <is>
          <t>goldstone</t>
        </is>
      </c>
      <c r="N211" t="b">
        <v>0</v>
      </c>
      <c r="O211" t="inlineStr">
        <is>
          <t>golden-labradorite</t>
        </is>
      </c>
      <c r="P211" t="inlineStr">
        <is>
          <t>Not Started</t>
        </is>
      </c>
      <c r="Q211" t="inlineStr">
        <is>
          <t>Solar Plexus</t>
        </is>
      </c>
      <c r="R211" t="inlineStr">
        <is>
          <t>Crown</t>
        </is>
      </c>
      <c r="S211" t="inlineStr">
        <is>
          <t>Solar Plexus</t>
        </is>
      </c>
      <c r="X211" t="inlineStr">
        <is>
          <t>Mineral</t>
        </is>
      </c>
      <c r="Z211" s="3" t="inlineStr">
        <is>
          <t>Purposeful confidence</t>
        </is>
      </c>
      <c r="AA211" s="3" t="inlineStr">
        <is>
          <t>Use when you have energy and ideas but need a stronger sense of which direction reflects your real priorities.</t>
        </is>
      </c>
      <c r="AB211" s="3" t="n"/>
      <c r="AC211" t="inlineStr">
        <is>
          <t>Confidence</t>
        </is>
      </c>
      <c r="AD211" t="inlineStr">
        <is>
          <t>Clarity &amp; Focus</t>
        </is>
      </c>
      <c r="AF211" t="inlineStr">
        <is>
          <t>["Confidence","Purpose","Clarity"]</t>
        </is>
      </c>
      <c r="AK211" t="b">
        <v>0</v>
      </c>
      <c r="AL211" t="inlineStr">
        <is>
          <t>Unreviewed</t>
        </is>
      </c>
      <c r="AM211" t="inlineStr">
        <is>
          <t>Not Started</t>
        </is>
      </c>
      <c r="AN211" t="inlineStr">
        <is>
          <t>Not Started</t>
        </is>
      </c>
      <c r="AO211" t="inlineStr">
        <is>
          <t>Not Started</t>
        </is>
      </c>
      <c r="AP211" t="inlineStr">
        <is>
          <t>Not Started</t>
        </is>
      </c>
      <c r="AR211" t="inlineStr">
        <is>
          <t>v0.3-2026-06-29</t>
        </is>
      </c>
      <c r="AT211" s="3" t="n"/>
    </row>
    <row r="212">
      <c r="A212" t="inlineStr">
        <is>
          <t>C-0045</t>
        </is>
      </c>
      <c r="B212" t="inlineStr">
        <is>
          <t>Green Apatite</t>
        </is>
      </c>
      <c r="D212" t="inlineStr">
        <is>
          <t>Apatite</t>
        </is>
      </c>
      <c r="E212" t="inlineStr">
        <is>
          <t>Apatite</t>
        </is>
      </c>
      <c r="F212" t="n">
        <v>3</v>
      </c>
      <c r="G212" t="n">
        <v>20</v>
      </c>
      <c r="H212" t="n">
        <v>45</v>
      </c>
      <c r="I212" t="n">
        <v>45</v>
      </c>
      <c r="J212" t="inlineStr">
        <is>
          <t>Grape Agate</t>
        </is>
      </c>
      <c r="K212" t="inlineStr">
        <is>
          <t>grape-agate</t>
        </is>
      </c>
      <c r="L212" t="inlineStr">
        <is>
          <t>Green Aragonite</t>
        </is>
      </c>
      <c r="M212" t="inlineStr">
        <is>
          <t>green-aragonite</t>
        </is>
      </c>
      <c r="N212" t="b">
        <v>0</v>
      </c>
      <c r="O212" t="inlineStr">
        <is>
          <t>green-apatite</t>
        </is>
      </c>
      <c r="P212" t="inlineStr">
        <is>
          <t>Not Started</t>
        </is>
      </c>
      <c r="Q212" t="inlineStr">
        <is>
          <t>Heart</t>
        </is>
      </c>
      <c r="R212" t="inlineStr">
        <is>
          <t>Throat</t>
        </is>
      </c>
      <c r="S212" t="inlineStr">
        <is>
          <t>Heart</t>
        </is>
      </c>
      <c r="X212" t="inlineStr">
        <is>
          <t>Mineral</t>
        </is>
      </c>
      <c r="Z212" s="3" t="inlineStr">
        <is>
          <t>Renewed motivation</t>
        </is>
      </c>
      <c r="AA212" s="3" t="inlineStr">
        <is>
          <t>Use when a meaningful goal still matters but your energy for pursuing it has begun to fade.</t>
        </is>
      </c>
      <c r="AB212" s="3" t="n"/>
      <c r="AC212" t="inlineStr">
        <is>
          <t>Transformation</t>
        </is>
      </c>
      <c r="AF212" t="inlineStr">
        <is>
          <t>["Motivation","Growth","Renewal"]</t>
        </is>
      </c>
      <c r="AK212" t="b">
        <v>0</v>
      </c>
      <c r="AL212" t="inlineStr">
        <is>
          <t>Unreviewed</t>
        </is>
      </c>
      <c r="AM212" t="inlineStr">
        <is>
          <t>Not Started</t>
        </is>
      </c>
      <c r="AN212" t="inlineStr">
        <is>
          <t>Not Started</t>
        </is>
      </c>
      <c r="AO212" t="inlineStr">
        <is>
          <t>Not Started</t>
        </is>
      </c>
      <c r="AP212" t="inlineStr">
        <is>
          <t>Not Started</t>
        </is>
      </c>
      <c r="AR212" t="inlineStr">
        <is>
          <t>v0.3-2026-06-29</t>
        </is>
      </c>
      <c r="AT212" s="3" t="n"/>
    </row>
    <row r="213">
      <c r="A213" t="inlineStr">
        <is>
          <t>C-0003</t>
        </is>
      </c>
      <c r="B213" t="inlineStr">
        <is>
          <t>Green Aragonite</t>
        </is>
      </c>
      <c r="D213" t="inlineStr">
        <is>
          <t>Aragonite</t>
        </is>
      </c>
      <c r="E213" t="inlineStr">
        <is>
          <t>Aragonite</t>
        </is>
      </c>
      <c r="F213" t="n">
        <v>3</v>
      </c>
      <c r="G213" t="n">
        <v>20</v>
      </c>
      <c r="H213" t="n">
        <v>3</v>
      </c>
      <c r="I213" t="n">
        <v>3</v>
      </c>
      <c r="J213" t="inlineStr">
        <is>
          <t>Green Apatite</t>
        </is>
      </c>
      <c r="K213" t="inlineStr">
        <is>
          <t>green-apatite</t>
        </is>
      </c>
      <c r="L213" t="inlineStr">
        <is>
          <t>Green Aventurine</t>
        </is>
      </c>
      <c r="M213" t="inlineStr">
        <is>
          <t>green-aventurine</t>
        </is>
      </c>
      <c r="N213" t="b">
        <v>0</v>
      </c>
      <c r="O213" t="inlineStr">
        <is>
          <t>green-aragonite</t>
        </is>
      </c>
      <c r="P213" t="inlineStr">
        <is>
          <t>Not Started</t>
        </is>
      </c>
      <c r="Q213" t="inlineStr">
        <is>
          <t>Heart</t>
        </is>
      </c>
      <c r="S213" t="inlineStr">
        <is>
          <t>Heart</t>
        </is>
      </c>
      <c r="X213" t="inlineStr">
        <is>
          <t>Mineral</t>
        </is>
      </c>
      <c r="Z213" s="3" t="inlineStr">
        <is>
          <t>Gentle renewal</t>
        </is>
      </c>
      <c r="AA213" s="3" t="inlineStr">
        <is>
          <t>Use when you are recovering from a draining period and need to rebuild your energy without pressuring yourself to bounce back quickly.</t>
        </is>
      </c>
      <c r="AB213" s="3" t="n"/>
      <c r="AC213" t="inlineStr">
        <is>
          <t>Heart Healing</t>
        </is>
      </c>
      <c r="AD213" t="inlineStr">
        <is>
          <t>Self-Love</t>
        </is>
      </c>
      <c r="AF213" t="inlineStr">
        <is>
          <t>["Renewal","Patience","Stability"]</t>
        </is>
      </c>
      <c r="AK213" t="b">
        <v>0</v>
      </c>
      <c r="AL213" t="inlineStr">
        <is>
          <t>Unreviewed</t>
        </is>
      </c>
      <c r="AM213" t="inlineStr">
        <is>
          <t>Not Started</t>
        </is>
      </c>
      <c r="AN213" t="inlineStr">
        <is>
          <t>Not Started</t>
        </is>
      </c>
      <c r="AO213" t="inlineStr">
        <is>
          <t>Not Started</t>
        </is>
      </c>
      <c r="AP213" t="inlineStr">
        <is>
          <t>Not Started</t>
        </is>
      </c>
      <c r="AR213" t="inlineStr">
        <is>
          <t>v0.3-2026-06-29</t>
        </is>
      </c>
      <c r="AT213" s="3" t="n"/>
    </row>
    <row r="214">
      <c r="A214" t="inlineStr">
        <is>
          <t>C-0313</t>
        </is>
      </c>
      <c r="B214" t="inlineStr">
        <is>
          <t>Green Heulandite</t>
        </is>
      </c>
      <c r="D214" t="inlineStr">
        <is>
          <t>Silicates</t>
        </is>
      </c>
      <c r="E214" t="inlineStr">
        <is>
          <t>Heulandite</t>
        </is>
      </c>
      <c r="F214" t="n">
        <v>3</v>
      </c>
      <c r="G214" t="n">
        <v>20</v>
      </c>
      <c r="H214" t="n">
        <v>0</v>
      </c>
      <c r="I214" t="n">
        <v>0</v>
      </c>
      <c r="J214" t="inlineStr">
        <is>
          <t>Green Fluorite</t>
        </is>
      </c>
      <c r="K214" t="inlineStr">
        <is>
          <t>green-fluorite</t>
        </is>
      </c>
      <c r="L214" t="inlineStr">
        <is>
          <t>Green Kyanite</t>
        </is>
      </c>
      <c r="M214" t="inlineStr">
        <is>
          <t>green-kyanite</t>
        </is>
      </c>
      <c r="N214" t="b">
        <v>0</v>
      </c>
      <c r="O214" t="inlineStr">
        <is>
          <t>green-heulandite</t>
        </is>
      </c>
      <c r="P214" t="inlineStr">
        <is>
          <t>Not Started</t>
        </is>
      </c>
      <c r="Q214" t="inlineStr">
        <is>
          <t>Heart</t>
        </is>
      </c>
      <c r="R214" t="inlineStr">
        <is>
          <t>Crown</t>
        </is>
      </c>
      <c r="S214" t="inlineStr">
        <is>
          <t>Heart</t>
        </is>
      </c>
      <c r="X214" t="inlineStr">
        <is>
          <t>Mineral</t>
        </is>
      </c>
      <c r="Z214" s="3" t="inlineStr">
        <is>
          <t>Gentle reopening</t>
        </is>
      </c>
      <c r="AA214" s="3" t="inlineStr">
        <is>
          <t>Use when disappointment has made you emotionally guarded and you want to become receptive again without abandoning discernment.</t>
        </is>
      </c>
      <c r="AB214" s="3" t="n"/>
      <c r="AC214" t="inlineStr">
        <is>
          <t>Heart Healing</t>
        </is>
      </c>
      <c r="AD214" t="inlineStr">
        <is>
          <t>Transformation</t>
        </is>
      </c>
      <c r="AF214" t="inlineStr">
        <is>
          <t>["Renewal","Openness","Hope"]</t>
        </is>
      </c>
      <c r="AK214" t="b">
        <v>0</v>
      </c>
      <c r="AL214" t="inlineStr">
        <is>
          <t>Unreviewed</t>
        </is>
      </c>
      <c r="AM214" t="inlineStr">
        <is>
          <t>Not Started</t>
        </is>
      </c>
      <c r="AN214" t="inlineStr">
        <is>
          <t>Not Started</t>
        </is>
      </c>
      <c r="AO214" t="inlineStr">
        <is>
          <t>Not Started</t>
        </is>
      </c>
      <c r="AP214" t="inlineStr">
        <is>
          <t>Not Started</t>
        </is>
      </c>
      <c r="AR214" t="inlineStr">
        <is>
          <t>v0.3-2026-06-29</t>
        </is>
      </c>
      <c r="AT214" s="3" t="n"/>
    </row>
    <row r="215">
      <c r="A215" t="inlineStr">
        <is>
          <t>C-0065</t>
        </is>
      </c>
      <c r="B215" t="inlineStr">
        <is>
          <t>Green Kyanite</t>
        </is>
      </c>
      <c r="D215" t="inlineStr">
        <is>
          <t>Kyanite</t>
        </is>
      </c>
      <c r="E215" t="inlineStr">
        <is>
          <t>Kyanite</t>
        </is>
      </c>
      <c r="F215" t="n">
        <v>3</v>
      </c>
      <c r="G215" t="n">
        <v>21</v>
      </c>
      <c r="H215" t="n">
        <v>65</v>
      </c>
      <c r="I215" t="n">
        <v>65</v>
      </c>
      <c r="J215" t="inlineStr">
        <is>
          <t>Green Heulandite</t>
        </is>
      </c>
      <c r="K215" t="inlineStr">
        <is>
          <t>green-heulandite</t>
        </is>
      </c>
      <c r="L215" t="inlineStr">
        <is>
          <t>Green Moonstone</t>
        </is>
      </c>
      <c r="M215" t="inlineStr">
        <is>
          <t>green-moonstone</t>
        </is>
      </c>
      <c r="N215" t="b">
        <v>0</v>
      </c>
      <c r="O215" t="inlineStr">
        <is>
          <t>green-kyanite</t>
        </is>
      </c>
      <c r="P215" t="inlineStr">
        <is>
          <t>Not Started</t>
        </is>
      </c>
      <c r="Q215" t="inlineStr">
        <is>
          <t>Heart</t>
        </is>
      </c>
      <c r="S215" t="inlineStr">
        <is>
          <t>Heart</t>
        </is>
      </c>
      <c r="X215" t="inlineStr">
        <is>
          <t>Mineral</t>
        </is>
      </c>
      <c r="Z215" s="3" t="inlineStr">
        <is>
          <t>Aligned growth</t>
        </is>
      </c>
      <c r="AA215" s="3" t="inlineStr">
        <is>
          <t>Use when you are considering a new direction and want to know whether it genuinely supports the person you are becoming.</t>
        </is>
      </c>
      <c r="AB215" s="3" t="n"/>
      <c r="AC215" t="inlineStr">
        <is>
          <t>Heart Healing</t>
        </is>
      </c>
      <c r="AD215" t="inlineStr">
        <is>
          <t>Grounding</t>
        </is>
      </c>
      <c r="AE215" t="inlineStr">
        <is>
          <t>Clarity &amp; Focus</t>
        </is>
      </c>
      <c r="AF215" t="inlineStr">
        <is>
          <t>["Alignment","Growth","Truth"]</t>
        </is>
      </c>
      <c r="AK215" t="b">
        <v>0</v>
      </c>
      <c r="AL215" t="inlineStr">
        <is>
          <t>Unreviewed</t>
        </is>
      </c>
      <c r="AM215" t="inlineStr">
        <is>
          <t>Not Started</t>
        </is>
      </c>
      <c r="AN215" t="inlineStr">
        <is>
          <t>Not Started</t>
        </is>
      </c>
      <c r="AO215" t="inlineStr">
        <is>
          <t>Not Started</t>
        </is>
      </c>
      <c r="AP215" t="inlineStr">
        <is>
          <t>Not Started</t>
        </is>
      </c>
      <c r="AR215" t="inlineStr">
        <is>
          <t>v0.3-2026-06-29</t>
        </is>
      </c>
      <c r="AT215" s="3" t="n"/>
    </row>
    <row r="216">
      <c r="A216" t="inlineStr">
        <is>
          <t>C-0399</t>
        </is>
      </c>
      <c r="B216" t="inlineStr">
        <is>
          <t>Green Moonstone</t>
        </is>
      </c>
      <c r="C216" t="inlineStr">
        <is>
          <t>Garnierite</t>
        </is>
      </c>
      <c r="D216" t="inlineStr">
        <is>
          <t>Nickel-bearing Silicates</t>
        </is>
      </c>
      <c r="E216" t="inlineStr">
        <is>
          <t>Garnierite</t>
        </is>
      </c>
      <c r="F216" t="n">
        <v>3</v>
      </c>
      <c r="G216" t="n">
        <v>21</v>
      </c>
      <c r="H216" t="n">
        <v>399</v>
      </c>
      <c r="I216" t="n">
        <v>399</v>
      </c>
      <c r="J216" t="inlineStr">
        <is>
          <t>Green Kyanite</t>
        </is>
      </c>
      <c r="K216" t="inlineStr">
        <is>
          <t>green-kyanite</t>
        </is>
      </c>
      <c r="L216" t="inlineStr">
        <is>
          <t>Green Opal</t>
        </is>
      </c>
      <c r="M216" t="inlineStr">
        <is>
          <t>green-opal</t>
        </is>
      </c>
      <c r="N216" t="b">
        <v>0</v>
      </c>
      <c r="O216" t="inlineStr">
        <is>
          <t>green-moonstone</t>
        </is>
      </c>
      <c r="P216" t="inlineStr">
        <is>
          <t>Not Started</t>
        </is>
      </c>
      <c r="Q216" t="inlineStr">
        <is>
          <t>Heart</t>
        </is>
      </c>
      <c r="R216" t="inlineStr">
        <is>
          <t>Solar Plexus</t>
        </is>
      </c>
      <c r="S216" t="inlineStr">
        <is>
          <t>Heart</t>
        </is>
      </c>
      <c r="X216" t="inlineStr">
        <is>
          <t>Rock</t>
        </is>
      </c>
      <c r="Z216" s="3" t="inlineStr">
        <is>
          <t>Patient personal growth</t>
        </is>
      </c>
      <c r="AA216" s="3" t="inlineStr">
        <is>
          <t>Use when progress feels slow and you are tempted to measure your worth by visible results.</t>
        </is>
      </c>
      <c r="AB216" s="3" t="n"/>
      <c r="AC216" t="inlineStr">
        <is>
          <t>Heart Healing</t>
        </is>
      </c>
      <c r="AD216" t="inlineStr">
        <is>
          <t>Emotional Regulation</t>
        </is>
      </c>
      <c r="AE216" t="inlineStr">
        <is>
          <t>Transformation</t>
        </is>
      </c>
      <c r="AF216" t="inlineStr">
        <is>
          <t>["Growth","Self-Worth","Renewal"]</t>
        </is>
      </c>
      <c r="AK216" t="b">
        <v>0</v>
      </c>
      <c r="AL216" t="inlineStr">
        <is>
          <t>Unreviewed</t>
        </is>
      </c>
      <c r="AM216" t="inlineStr">
        <is>
          <t>Not Started</t>
        </is>
      </c>
      <c r="AN216" t="inlineStr">
        <is>
          <t>Not Started</t>
        </is>
      </c>
      <c r="AO216" t="inlineStr">
        <is>
          <t>Not Started</t>
        </is>
      </c>
      <c r="AP216" t="inlineStr">
        <is>
          <t>Not Started</t>
        </is>
      </c>
      <c r="AR216" t="inlineStr">
        <is>
          <t>v0.3-2026-06-29</t>
        </is>
      </c>
      <c r="AT216" s="3" t="n"/>
    </row>
    <row r="217">
      <c r="A217" t="inlineStr">
        <is>
          <t>C-0314</t>
        </is>
      </c>
      <c r="B217" t="inlineStr">
        <is>
          <t>Green Opal</t>
        </is>
      </c>
      <c r="D217" t="inlineStr">
        <is>
          <t>Opal</t>
        </is>
      </c>
      <c r="E217" t="inlineStr">
        <is>
          <t>Opal</t>
        </is>
      </c>
      <c r="F217" t="n">
        <v>3</v>
      </c>
      <c r="G217" t="n">
        <v>21</v>
      </c>
      <c r="H217" t="n">
        <v>314</v>
      </c>
      <c r="I217" t="n">
        <v>314</v>
      </c>
      <c r="J217" t="inlineStr">
        <is>
          <t>Green Moonstone</t>
        </is>
      </c>
      <c r="K217" t="inlineStr">
        <is>
          <t>green-moonstone</t>
        </is>
      </c>
      <c r="L217" t="inlineStr">
        <is>
          <t>Green Tourmaline</t>
        </is>
      </c>
      <c r="M217" t="inlineStr">
        <is>
          <t>green-tourmaline</t>
        </is>
      </c>
      <c r="N217" t="b">
        <v>0</v>
      </c>
      <c r="O217" t="inlineStr">
        <is>
          <t>green-opal</t>
        </is>
      </c>
      <c r="P217" t="inlineStr">
        <is>
          <t>Not Started</t>
        </is>
      </c>
      <c r="Q217" t="inlineStr">
        <is>
          <t>Heart</t>
        </is>
      </c>
      <c r="R217" t="inlineStr">
        <is>
          <t>Sacral</t>
        </is>
      </c>
      <c r="S217" t="inlineStr">
        <is>
          <t>Heart</t>
        </is>
      </c>
      <c r="X217" t="inlineStr">
        <is>
          <t>Mineraloid</t>
        </is>
      </c>
      <c r="Z217" s="3" t="inlineStr">
        <is>
          <t>Emotional renewal</t>
        </is>
      </c>
      <c r="AA217" s="3" t="inlineStr">
        <is>
          <t>Use when part of you wants a fresh beginning but another part is still bracing for the past to repeat itself.</t>
        </is>
      </c>
      <c r="AB217" s="3" t="n"/>
      <c r="AC217" t="inlineStr">
        <is>
          <t>Heart Healing</t>
        </is>
      </c>
      <c r="AD217" t="inlineStr">
        <is>
          <t>Transformation</t>
        </is>
      </c>
      <c r="AF217" t="inlineStr">
        <is>
          <t>["Renewal","Hope","Openness"]</t>
        </is>
      </c>
      <c r="AK217" t="b">
        <v>0</v>
      </c>
      <c r="AL217" t="inlineStr">
        <is>
          <t>Unreviewed</t>
        </is>
      </c>
      <c r="AM217" t="inlineStr">
        <is>
          <t>Not Started</t>
        </is>
      </c>
      <c r="AN217" t="inlineStr">
        <is>
          <t>Not Started</t>
        </is>
      </c>
      <c r="AO217" t="inlineStr">
        <is>
          <t>Not Started</t>
        </is>
      </c>
      <c r="AP217" t="inlineStr">
        <is>
          <t>Not Started</t>
        </is>
      </c>
      <c r="AR217" t="inlineStr">
        <is>
          <t>v0.3-2026-06-29</t>
        </is>
      </c>
      <c r="AT217" s="3" t="n"/>
    </row>
    <row r="218">
      <c r="A218" t="inlineStr">
        <is>
          <t>C-0057</t>
        </is>
      </c>
      <c r="B218" t="inlineStr">
        <is>
          <t>Green Tourmaline</t>
        </is>
      </c>
      <c r="C218" t="inlineStr">
        <is>
          <t>Verdelite</t>
        </is>
      </c>
      <c r="D218" t="inlineStr">
        <is>
          <t>Tourmaline</t>
        </is>
      </c>
      <c r="E218" t="inlineStr">
        <is>
          <t>Elbaite</t>
        </is>
      </c>
      <c r="F218" t="n">
        <v>3</v>
      </c>
      <c r="G218" t="n">
        <v>21</v>
      </c>
      <c r="H218" t="n">
        <v>57</v>
      </c>
      <c r="I218" t="n">
        <v>57</v>
      </c>
      <c r="J218" t="inlineStr">
        <is>
          <t>Green Opal</t>
        </is>
      </c>
      <c r="K218" t="inlineStr">
        <is>
          <t>green-opal</t>
        </is>
      </c>
      <c r="L218" t="inlineStr">
        <is>
          <t>Greenstone</t>
        </is>
      </c>
      <c r="M218" t="inlineStr">
        <is>
          <t>greenstone</t>
        </is>
      </c>
      <c r="N218" t="b">
        <v>0</v>
      </c>
      <c r="O218" t="inlineStr">
        <is>
          <t>green-tourmaline</t>
        </is>
      </c>
      <c r="P218" t="inlineStr">
        <is>
          <t>Not Started</t>
        </is>
      </c>
      <c r="Q218" t="inlineStr">
        <is>
          <t>Heart</t>
        </is>
      </c>
      <c r="S218" t="inlineStr">
        <is>
          <t>Heart</t>
        </is>
      </c>
      <c r="X218" t="inlineStr">
        <is>
          <t>Mineral</t>
        </is>
      </c>
      <c r="Z218" s="3" t="inlineStr">
        <is>
          <t>Heart-led growth</t>
        </is>
      </c>
      <c r="AA218" s="3" t="inlineStr">
        <is>
          <t>Use when you want to invest energy in something that feels both personally meaningful and capable of lasting growth.</t>
        </is>
      </c>
      <c r="AB218" s="3" t="n"/>
      <c r="AC218" t="inlineStr">
        <is>
          <t>Heart Healing</t>
        </is>
      </c>
      <c r="AD218" t="inlineStr">
        <is>
          <t>Vitality</t>
        </is>
      </c>
      <c r="AF218" t="inlineStr">
        <is>
          <t>["Growth","Vitality","Abundance"]</t>
        </is>
      </c>
      <c r="AK218" t="b">
        <v>0</v>
      </c>
      <c r="AL218" t="inlineStr">
        <is>
          <t>Unreviewed</t>
        </is>
      </c>
      <c r="AM218" t="inlineStr">
        <is>
          <t>Not Started</t>
        </is>
      </c>
      <c r="AN218" t="inlineStr">
        <is>
          <t>Not Started</t>
        </is>
      </c>
      <c r="AO218" t="inlineStr">
        <is>
          <t>Not Started</t>
        </is>
      </c>
      <c r="AP218" t="inlineStr">
        <is>
          <t>Not Started</t>
        </is>
      </c>
      <c r="AR218" t="inlineStr">
        <is>
          <t>v0.3-2026-06-29</t>
        </is>
      </c>
      <c r="AT218" s="3" t="n"/>
    </row>
    <row r="219">
      <c r="A219" t="inlineStr">
        <is>
          <t>C-0315</t>
        </is>
      </c>
      <c r="B219" t="inlineStr">
        <is>
          <t>Greenstone</t>
        </is>
      </c>
      <c r="C219" t="inlineStr">
        <is>
          <t>New Zealand Pounamu; Nephrite variety</t>
        </is>
      </c>
      <c r="D219" t="inlineStr">
        <is>
          <t>Silicates</t>
        </is>
      </c>
      <c r="E219" t="inlineStr">
        <is>
          <t>Nephrite</t>
        </is>
      </c>
      <c r="F219" t="n">
        <v>3</v>
      </c>
      <c r="G219" t="n">
        <v>21</v>
      </c>
      <c r="H219" t="n">
        <v>0</v>
      </c>
      <c r="I219" t="n">
        <v>0</v>
      </c>
      <c r="J219" t="inlineStr">
        <is>
          <t>Green Tourmaline</t>
        </is>
      </c>
      <c r="K219" t="inlineStr">
        <is>
          <t>green-tourmaline</t>
        </is>
      </c>
      <c r="L219" t="inlineStr">
        <is>
          <t>Grossular Garnet</t>
        </is>
      </c>
      <c r="M219" t="inlineStr">
        <is>
          <t>grossular-garnet</t>
        </is>
      </c>
      <c r="N219" t="b">
        <v>0</v>
      </c>
      <c r="O219" t="inlineStr">
        <is>
          <t>greenstone</t>
        </is>
      </c>
      <c r="P219" t="inlineStr">
        <is>
          <t>Not Started</t>
        </is>
      </c>
      <c r="Q219" t="inlineStr">
        <is>
          <t>Heart</t>
        </is>
      </c>
      <c r="R219" t="inlineStr">
        <is>
          <t>Root</t>
        </is>
      </c>
      <c r="S219" t="inlineStr">
        <is>
          <t>Heart</t>
        </is>
      </c>
      <c r="X219" t="inlineStr">
        <is>
          <t>Mineral</t>
        </is>
      </c>
      <c r="Z219" s="3" t="inlineStr">
        <is>
          <t>Grounded belonging</t>
        </is>
      </c>
      <c r="AA219" s="3" t="inlineStr">
        <is>
          <t>Use when you feel disconnected from your surroundings and need to rebuild a sense of rootedness and familiarity.</t>
        </is>
      </c>
      <c r="AB219" s="3" t="n"/>
      <c r="AC219" t="inlineStr">
        <is>
          <t>Protection</t>
        </is>
      </c>
      <c r="AD219" t="inlineStr">
        <is>
          <t>Spiritual Connection</t>
        </is>
      </c>
      <c r="AF219" t="inlineStr">
        <is>
          <t>["Belonging","Grounding","Stability"]</t>
        </is>
      </c>
      <c r="AK219" t="b">
        <v>0</v>
      </c>
      <c r="AL219" t="inlineStr">
        <is>
          <t>Unreviewed</t>
        </is>
      </c>
      <c r="AM219" t="inlineStr">
        <is>
          <t>Not Started</t>
        </is>
      </c>
      <c r="AN219" t="inlineStr">
        <is>
          <t>Not Started</t>
        </is>
      </c>
      <c r="AO219" t="inlineStr">
        <is>
          <t>Not Started</t>
        </is>
      </c>
      <c r="AP219" t="inlineStr">
        <is>
          <t>Not Started</t>
        </is>
      </c>
      <c r="AR219" t="inlineStr">
        <is>
          <t>v0.3-2026-06-29</t>
        </is>
      </c>
      <c r="AT219" s="3" t="n"/>
    </row>
    <row r="220">
      <c r="A220" t="inlineStr">
        <is>
          <t>C-0061</t>
        </is>
      </c>
      <c r="B220" t="inlineStr">
        <is>
          <t>Grossular Garnet</t>
        </is>
      </c>
      <c r="C220" t="inlineStr">
        <is>
          <t>Grossularite; Tsavorite (green variety)</t>
        </is>
      </c>
      <c r="D220" t="inlineStr">
        <is>
          <t>Garnet</t>
        </is>
      </c>
      <c r="E220" t="inlineStr">
        <is>
          <t>Grossular</t>
        </is>
      </c>
      <c r="F220" t="n">
        <v>3</v>
      </c>
      <c r="G220" t="n">
        <v>21</v>
      </c>
      <c r="H220" t="n">
        <v>61</v>
      </c>
      <c r="I220" t="n">
        <v>61</v>
      </c>
      <c r="J220" t="inlineStr">
        <is>
          <t>Greenstone</t>
        </is>
      </c>
      <c r="K220" t="inlineStr">
        <is>
          <t>greenstone</t>
        </is>
      </c>
      <c r="L220" t="inlineStr">
        <is>
          <t>Hackmanite</t>
        </is>
      </c>
      <c r="M220" t="inlineStr">
        <is>
          <t>hackmanite</t>
        </is>
      </c>
      <c r="N220" t="b">
        <v>0</v>
      </c>
      <c r="O220" t="inlineStr">
        <is>
          <t>grossular-garnet</t>
        </is>
      </c>
      <c r="P220" t="inlineStr">
        <is>
          <t>Not Started</t>
        </is>
      </c>
      <c r="Q220" t="inlineStr">
        <is>
          <t>Heart</t>
        </is>
      </c>
      <c r="R220" t="inlineStr">
        <is>
          <t>Solar Plexus</t>
        </is>
      </c>
      <c r="S220" t="inlineStr">
        <is>
          <t>Heart</t>
        </is>
      </c>
      <c r="X220" t="inlineStr">
        <is>
          <t>Mineral</t>
        </is>
      </c>
      <c r="Z220" s="3" t="inlineStr">
        <is>
          <t>Grounded growth</t>
        </is>
      </c>
      <c r="AA220" s="3" t="inlineStr">
        <is>
          <t>Use when you are building something new and want expansion to feel sustainable rather than rushed or uncertain.</t>
        </is>
      </c>
      <c r="AB220" s="3" t="n"/>
      <c r="AC220" t="inlineStr">
        <is>
          <t>Transformation</t>
        </is>
      </c>
      <c r="AD220" t="inlineStr">
        <is>
          <t>Manifestation</t>
        </is>
      </c>
      <c r="AF220" t="inlineStr">
        <is>
          <t>["Growth","Abundance","Confidence"]</t>
        </is>
      </c>
      <c r="AK220" t="b">
        <v>0</v>
      </c>
      <c r="AL220" t="inlineStr">
        <is>
          <t>Unreviewed</t>
        </is>
      </c>
      <c r="AM220" t="inlineStr">
        <is>
          <t>Not Started</t>
        </is>
      </c>
      <c r="AN220" t="inlineStr">
        <is>
          <t>Not Started</t>
        </is>
      </c>
      <c r="AO220" t="inlineStr">
        <is>
          <t>Not Started</t>
        </is>
      </c>
      <c r="AP220" t="inlineStr">
        <is>
          <t>Not Started</t>
        </is>
      </c>
      <c r="AR220" t="inlineStr">
        <is>
          <t>v0.3-2026-06-29</t>
        </is>
      </c>
      <c r="AT220" s="3" t="n"/>
    </row>
    <row r="221">
      <c r="A221" t="inlineStr">
        <is>
          <t>C-0364</t>
        </is>
      </c>
      <c r="B221" t="inlineStr">
        <is>
          <t>Hackmanite</t>
        </is>
      </c>
      <c r="C221" t="inlineStr">
        <is>
          <t>Tenebrescent Sodalite</t>
        </is>
      </c>
      <c r="D221" t="inlineStr">
        <is>
          <t>Silicates</t>
        </is>
      </c>
      <c r="E221" t="inlineStr">
        <is>
          <t>Sodalite</t>
        </is>
      </c>
      <c r="F221" t="n">
        <v>3</v>
      </c>
      <c r="G221" t="n">
        <v>21</v>
      </c>
      <c r="H221" t="n">
        <v>364</v>
      </c>
      <c r="I221" t="n">
        <v>364</v>
      </c>
      <c r="J221" t="inlineStr">
        <is>
          <t>Grossular Garnet</t>
        </is>
      </c>
      <c r="K221" t="inlineStr">
        <is>
          <t>grossular-garnet</t>
        </is>
      </c>
      <c r="L221" t="inlineStr">
        <is>
          <t>Halite</t>
        </is>
      </c>
      <c r="M221" t="inlineStr">
        <is>
          <t>halite</t>
        </is>
      </c>
      <c r="N221" t="b">
        <v>0</v>
      </c>
      <c r="O221" t="inlineStr">
        <is>
          <t>hackmanite</t>
        </is>
      </c>
      <c r="P221" t="inlineStr">
        <is>
          <t>Not Started</t>
        </is>
      </c>
      <c r="Q221" t="inlineStr">
        <is>
          <t>Third Eye</t>
        </is>
      </c>
      <c r="R221" t="inlineStr">
        <is>
          <t>Crown</t>
        </is>
      </c>
      <c r="S221" t="inlineStr">
        <is>
          <t>Third Eye</t>
        </is>
      </c>
      <c r="X221" t="inlineStr">
        <is>
          <t>Mineral</t>
        </is>
      </c>
      <c r="Z221" s="3" t="inlineStr">
        <is>
          <t>Recognizing what change is revealing</t>
        </is>
      </c>
      <c r="AA221" s="3" t="inlineStr">
        <is>
          <t>Use when a shift in circumstances is revealing something you could not see from your previous perspective.</t>
        </is>
      </c>
      <c r="AB221" s="3" t="n"/>
      <c r="AC221" t="inlineStr">
        <is>
          <t>Transformation</t>
        </is>
      </c>
      <c r="AD221" t="inlineStr">
        <is>
          <t>Intuition</t>
        </is>
      </c>
      <c r="AE221" t="inlineStr">
        <is>
          <t>Clarity &amp; Focus</t>
        </is>
      </c>
      <c r="AF221" t="inlineStr">
        <is>
          <t>["Transformation","Intuition","Insight"]</t>
        </is>
      </c>
      <c r="AK221" t="b">
        <v>0</v>
      </c>
      <c r="AL221" t="inlineStr">
        <is>
          <t>Unreviewed</t>
        </is>
      </c>
      <c r="AM221" t="inlineStr">
        <is>
          <t>Not Started</t>
        </is>
      </c>
      <c r="AN221" t="inlineStr">
        <is>
          <t>Not Started</t>
        </is>
      </c>
      <c r="AO221" t="inlineStr">
        <is>
          <t>Not Started</t>
        </is>
      </c>
      <c r="AP221" t="inlineStr">
        <is>
          <t>Not Started</t>
        </is>
      </c>
      <c r="AR221" t="inlineStr">
        <is>
          <t>v0.3-2026-06-29</t>
        </is>
      </c>
      <c r="AT221" s="3" t="n"/>
    </row>
    <row r="222">
      <c r="A222" t="inlineStr">
        <is>
          <t>C-0240</t>
        </is>
      </c>
      <c r="B222" t="inlineStr">
        <is>
          <t>Halite</t>
        </is>
      </c>
      <c r="D222" t="inlineStr">
        <is>
          <t>Other Mineral</t>
        </is>
      </c>
      <c r="E222" t="inlineStr">
        <is>
          <t>Halite</t>
        </is>
      </c>
      <c r="F222" t="n">
        <v>3</v>
      </c>
      <c r="G222" t="n">
        <v>21</v>
      </c>
      <c r="H222" t="n">
        <v>240</v>
      </c>
      <c r="I222" t="n">
        <v>240</v>
      </c>
      <c r="J222" t="inlineStr">
        <is>
          <t>Hackmanite</t>
        </is>
      </c>
      <c r="K222" t="inlineStr">
        <is>
          <t>hackmanite</t>
        </is>
      </c>
      <c r="L222" t="inlineStr">
        <is>
          <t>Healer's Gold</t>
        </is>
      </c>
      <c r="M222" t="inlineStr">
        <is>
          <t>healer-s-gold</t>
        </is>
      </c>
      <c r="N222" t="b">
        <v>0</v>
      </c>
      <c r="O222" t="inlineStr">
        <is>
          <t>halite</t>
        </is>
      </c>
      <c r="P222" t="inlineStr">
        <is>
          <t>Not Started</t>
        </is>
      </c>
      <c r="Q222" t="inlineStr">
        <is>
          <t>Crown</t>
        </is>
      </c>
      <c r="S222" t="inlineStr">
        <is>
          <t>Crown</t>
        </is>
      </c>
      <c r="X222" t="inlineStr">
        <is>
          <t>Mineral</t>
        </is>
      </c>
      <c r="Z222" s="3" t="inlineStr">
        <is>
          <t>Energetic clearing</t>
        </is>
      </c>
      <c r="AA222" s="3" t="inlineStr">
        <is>
          <t>Use when a room, interaction, or experience feels emotionally stale and you want to create a cleaner internal reset.</t>
        </is>
      </c>
      <c r="AB222" s="3" t="n"/>
      <c r="AC222" t="inlineStr">
        <is>
          <t>Protection</t>
        </is>
      </c>
      <c r="AF222" t="inlineStr">
        <is>
          <t>["Purification","Clarity","Release"]</t>
        </is>
      </c>
      <c r="AK222" t="b">
        <v>0</v>
      </c>
      <c r="AL222" t="inlineStr">
        <is>
          <t>Unreviewed</t>
        </is>
      </c>
      <c r="AM222" t="inlineStr">
        <is>
          <t>Not Started</t>
        </is>
      </c>
      <c r="AN222" t="inlineStr">
        <is>
          <t>Not Started</t>
        </is>
      </c>
      <c r="AO222" t="inlineStr">
        <is>
          <t>Not Started</t>
        </is>
      </c>
      <c r="AP222" t="inlineStr">
        <is>
          <t>Not Started</t>
        </is>
      </c>
      <c r="AR222" t="inlineStr">
        <is>
          <t>v0.3-2026-06-29</t>
        </is>
      </c>
      <c r="AT222" s="3" t="n"/>
    </row>
    <row r="223">
      <c r="A223" t="inlineStr">
        <is>
          <t>C-0317</t>
        </is>
      </c>
      <c r="B223" t="inlineStr">
        <is>
          <t>Healer's Gold</t>
        </is>
      </c>
      <c r="C223" t="inlineStr">
        <is>
          <t>Apache Gold</t>
        </is>
      </c>
      <c r="D223" t="inlineStr">
        <is>
          <t>Aggregate</t>
        </is>
      </c>
      <c r="E223" t="inlineStr">
        <is>
          <t>Pyrite in Magnetite</t>
        </is>
      </c>
      <c r="F223" t="n">
        <v>3</v>
      </c>
      <c r="G223" t="n">
        <v>21</v>
      </c>
      <c r="H223" t="n">
        <v>317</v>
      </c>
      <c r="I223" t="n">
        <v>317</v>
      </c>
      <c r="J223" t="inlineStr">
        <is>
          <t>Halite</t>
        </is>
      </c>
      <c r="K223" t="inlineStr">
        <is>
          <t>halite</t>
        </is>
      </c>
      <c r="L223" t="inlineStr">
        <is>
          <t>Healerite</t>
        </is>
      </c>
      <c r="M223" t="inlineStr">
        <is>
          <t>healerite</t>
        </is>
      </c>
      <c r="N223" t="b">
        <v>0</v>
      </c>
      <c r="O223" t="inlineStr">
        <is>
          <t>healer-s-gold</t>
        </is>
      </c>
      <c r="P223" t="inlineStr">
        <is>
          <t>Not Started</t>
        </is>
      </c>
      <c r="Q223" t="inlineStr">
        <is>
          <t>Solar Plexus</t>
        </is>
      </c>
      <c r="R223" t="inlineStr">
        <is>
          <t>Root</t>
        </is>
      </c>
      <c r="S223" t="inlineStr">
        <is>
          <t>Solar Plexus</t>
        </is>
      </c>
      <c r="X223" t="inlineStr">
        <is>
          <t>Mineral aggregate</t>
        </is>
      </c>
      <c r="Z223" s="3" t="inlineStr">
        <is>
          <t>Grounded prosperity</t>
        </is>
      </c>
      <c r="AA223" s="3" t="inlineStr">
        <is>
          <t>Use when you are pursuing financial or professional growth and need confidence supported by structure and consistent effort.</t>
        </is>
      </c>
      <c r="AB223" s="3" t="n"/>
      <c r="AC223" t="inlineStr">
        <is>
          <t>Vitality</t>
        </is>
      </c>
      <c r="AD223" t="inlineStr">
        <is>
          <t>Grounding</t>
        </is>
      </c>
      <c r="AF223" t="inlineStr">
        <is>
          <t>["Abundance","Grounding","Discipline"]</t>
        </is>
      </c>
      <c r="AK223" t="b">
        <v>0</v>
      </c>
      <c r="AL223" t="inlineStr">
        <is>
          <t>Unreviewed</t>
        </is>
      </c>
      <c r="AM223" t="inlineStr">
        <is>
          <t>Not Started</t>
        </is>
      </c>
      <c r="AN223" t="inlineStr">
        <is>
          <t>Not Started</t>
        </is>
      </c>
      <c r="AO223" t="inlineStr">
        <is>
          <t>Not Started</t>
        </is>
      </c>
      <c r="AP223" t="inlineStr">
        <is>
          <t>Not Started</t>
        </is>
      </c>
      <c r="AR223" t="inlineStr">
        <is>
          <t>v0.3-2026-06-29</t>
        </is>
      </c>
      <c r="AT223" s="3" t="n"/>
    </row>
    <row r="224">
      <c r="A224" t="inlineStr">
        <is>
          <t>C-0318</t>
        </is>
      </c>
      <c r="B224" t="inlineStr">
        <is>
          <t>Hemimorphite</t>
        </is>
      </c>
      <c r="D224" t="inlineStr">
        <is>
          <t>Silicates</t>
        </is>
      </c>
      <c r="E224" t="inlineStr">
        <is>
          <t>Hemimorphite</t>
        </is>
      </c>
      <c r="F224" t="n">
        <v>3</v>
      </c>
      <c r="G224" t="n">
        <v>21</v>
      </c>
      <c r="H224" t="n">
        <v>318</v>
      </c>
      <c r="I224" t="n">
        <v>318</v>
      </c>
      <c r="J224" t="inlineStr">
        <is>
          <t>Hematoid Quartz</t>
        </is>
      </c>
      <c r="K224" t="inlineStr">
        <is>
          <t>hematoid-quartz</t>
        </is>
      </c>
      <c r="L224" t="inlineStr">
        <is>
          <t>Herkimer Diamond</t>
        </is>
      </c>
      <c r="M224" t="inlineStr">
        <is>
          <t>herkimer-diamond</t>
        </is>
      </c>
      <c r="N224" t="b">
        <v>0</v>
      </c>
      <c r="O224" t="inlineStr">
        <is>
          <t>hemimorphite</t>
        </is>
      </c>
      <c r="P224" t="inlineStr">
        <is>
          <t>Not Started</t>
        </is>
      </c>
      <c r="Q224" t="inlineStr">
        <is>
          <t>Throat</t>
        </is>
      </c>
      <c r="R224" t="inlineStr">
        <is>
          <t>Heart</t>
        </is>
      </c>
      <c r="S224" t="inlineStr">
        <is>
          <t>Throat</t>
        </is>
      </c>
      <c r="X224" t="inlineStr">
        <is>
          <t>Mineral</t>
        </is>
      </c>
      <c r="Z224" s="3" t="inlineStr">
        <is>
          <t>Hopeful communication</t>
        </is>
      </c>
      <c r="AA224" s="3" t="inlineStr">
        <is>
          <t>Use when discouragement is affecting how you speak to yourself or others and you need to restore a more balanced tone.</t>
        </is>
      </c>
      <c r="AB224" s="3" t="n"/>
      <c r="AC224" t="inlineStr">
        <is>
          <t>Communication</t>
        </is>
      </c>
      <c r="AD224" t="inlineStr">
        <is>
          <t>Heart Healing</t>
        </is>
      </c>
      <c r="AF224" t="inlineStr">
        <is>
          <t>["Communication","Hope","Clarity"]</t>
        </is>
      </c>
      <c r="AK224" t="b">
        <v>0</v>
      </c>
      <c r="AL224" t="inlineStr">
        <is>
          <t>Unreviewed</t>
        </is>
      </c>
      <c r="AM224" t="inlineStr">
        <is>
          <t>Not Started</t>
        </is>
      </c>
      <c r="AN224" t="inlineStr">
        <is>
          <t>Not Started</t>
        </is>
      </c>
      <c r="AO224" t="inlineStr">
        <is>
          <t>Not Started</t>
        </is>
      </c>
      <c r="AP224" t="inlineStr">
        <is>
          <t>Not Started</t>
        </is>
      </c>
      <c r="AR224" t="inlineStr">
        <is>
          <t>v0.3-2026-06-29</t>
        </is>
      </c>
      <c r="AT224" s="3" t="n"/>
    </row>
    <row r="225">
      <c r="A225" t="inlineStr">
        <is>
          <t>C-0161</t>
        </is>
      </c>
      <c r="B225" t="inlineStr">
        <is>
          <t>Hiddenite</t>
        </is>
      </c>
      <c r="D225" t="inlineStr">
        <is>
          <t>Spodumene</t>
        </is>
      </c>
      <c r="E225" t="inlineStr">
        <is>
          <t>Spodumene</t>
        </is>
      </c>
      <c r="F225" t="n">
        <v>3</v>
      </c>
      <c r="G225" t="n">
        <v>22</v>
      </c>
      <c r="H225" t="n">
        <v>161</v>
      </c>
      <c r="I225" t="n">
        <v>161</v>
      </c>
      <c r="J225" t="inlineStr">
        <is>
          <t>Herkimer Diamond</t>
        </is>
      </c>
      <c r="K225" t="inlineStr">
        <is>
          <t>herkimer-diamond</t>
        </is>
      </c>
      <c r="L225" t="inlineStr">
        <is>
          <t>Honey Calcite</t>
        </is>
      </c>
      <c r="M225" t="inlineStr">
        <is>
          <t>honey-calcite</t>
        </is>
      </c>
      <c r="N225" t="b">
        <v>0</v>
      </c>
      <c r="O225" t="inlineStr">
        <is>
          <t>hiddenite</t>
        </is>
      </c>
      <c r="P225" t="inlineStr">
        <is>
          <t>Not Started</t>
        </is>
      </c>
      <c r="Q225" t="inlineStr">
        <is>
          <t>Heart</t>
        </is>
      </c>
      <c r="S225" t="inlineStr">
        <is>
          <t>Heart</t>
        </is>
      </c>
      <c r="X225" t="inlineStr">
        <is>
          <t>Mineral</t>
        </is>
      </c>
      <c r="Z225" s="3" t="inlineStr">
        <is>
          <t>Hopeful renewal</t>
        </is>
      </c>
      <c r="AA225" s="3" t="inlineStr">
        <is>
          <t>Use when disappointment has made you cautious and you need help believing that a new beginning can unfold differently.</t>
        </is>
      </c>
      <c r="AB225" s="3" t="n"/>
      <c r="AC225" t="inlineStr">
        <is>
          <t>Heart Healing</t>
        </is>
      </c>
      <c r="AD225" t="inlineStr">
        <is>
          <t>Self-Love</t>
        </is>
      </c>
      <c r="AE225" t="inlineStr">
        <is>
          <t>Manifestation</t>
        </is>
      </c>
      <c r="AF225" t="inlineStr">
        <is>
          <t>["Renewal","Hope","Courage"]</t>
        </is>
      </c>
      <c r="AK225" t="b">
        <v>0</v>
      </c>
      <c r="AL225" t="inlineStr">
        <is>
          <t>Unreviewed</t>
        </is>
      </c>
      <c r="AM225" t="inlineStr">
        <is>
          <t>Not Started</t>
        </is>
      </c>
      <c r="AN225" t="inlineStr">
        <is>
          <t>Not Started</t>
        </is>
      </c>
      <c r="AO225" t="inlineStr">
        <is>
          <t>Not Started</t>
        </is>
      </c>
      <c r="AP225" t="inlineStr">
        <is>
          <t>Not Started</t>
        </is>
      </c>
      <c r="AR225" t="inlineStr">
        <is>
          <t>v0.3-2026-06-29</t>
        </is>
      </c>
      <c r="AT225" s="3" t="n"/>
    </row>
    <row r="226">
      <c r="A226" t="inlineStr">
        <is>
          <t>C-0320</t>
        </is>
      </c>
      <c r="B226" t="inlineStr">
        <is>
          <t>Hypersthene</t>
        </is>
      </c>
      <c r="C226" t="inlineStr">
        <is>
          <t>Velvet Labradorite (trade)</t>
        </is>
      </c>
      <c r="D226" t="inlineStr">
        <is>
          <t>Silicates</t>
        </is>
      </c>
      <c r="E226" t="inlineStr">
        <is>
          <t>Hypersthene</t>
        </is>
      </c>
      <c r="F226" t="n">
        <v>3</v>
      </c>
      <c r="G226" t="n">
        <v>22</v>
      </c>
      <c r="H226" t="n">
        <v>320</v>
      </c>
      <c r="I226" t="n">
        <v>320</v>
      </c>
      <c r="J226" t="inlineStr">
        <is>
          <t>Howlite</t>
        </is>
      </c>
      <c r="K226" t="inlineStr">
        <is>
          <t>howlite</t>
        </is>
      </c>
      <c r="L226" t="inlineStr">
        <is>
          <t>Imperial Topaz</t>
        </is>
      </c>
      <c r="M226" t="inlineStr">
        <is>
          <t>imperial-topaz</t>
        </is>
      </c>
      <c r="N226" t="b">
        <v>0</v>
      </c>
      <c r="O226" t="inlineStr">
        <is>
          <t>hypersthene</t>
        </is>
      </c>
      <c r="P226" t="inlineStr">
        <is>
          <t>Not Started</t>
        </is>
      </c>
      <c r="Q226" t="inlineStr">
        <is>
          <t>Third Eye</t>
        </is>
      </c>
      <c r="R226" t="inlineStr">
        <is>
          <t>Root</t>
        </is>
      </c>
      <c r="S226" t="inlineStr">
        <is>
          <t>Third Eye</t>
        </is>
      </c>
      <c r="X226" t="inlineStr">
        <is>
          <t>Mineral</t>
        </is>
      </c>
      <c r="Z226" s="3" t="inlineStr">
        <is>
          <t>Quiet discernment</t>
        </is>
      </c>
      <c r="AA226" s="3" t="inlineStr">
        <is>
          <t>Use when you need distance from a strong emotional reaction so you can understand it without suppressing it.</t>
        </is>
      </c>
      <c r="AB226" s="3" t="n"/>
      <c r="AC226" t="inlineStr">
        <is>
          <t>Intuition</t>
        </is>
      </c>
      <c r="AD226" t="inlineStr">
        <is>
          <t>Grounding</t>
        </is>
      </c>
      <c r="AF226" t="inlineStr">
        <is>
          <t>["Discernment","Grounding","Reflection"]</t>
        </is>
      </c>
      <c r="AK226" t="b">
        <v>0</v>
      </c>
      <c r="AL226" t="inlineStr">
        <is>
          <t>Unreviewed</t>
        </is>
      </c>
      <c r="AM226" t="inlineStr">
        <is>
          <t>Not Started</t>
        </is>
      </c>
      <c r="AN226" t="inlineStr">
        <is>
          <t>Not Started</t>
        </is>
      </c>
      <c r="AO226" t="inlineStr">
        <is>
          <t>Not Started</t>
        </is>
      </c>
      <c r="AP226" t="inlineStr">
        <is>
          <t>Not Started</t>
        </is>
      </c>
      <c r="AR226" t="inlineStr">
        <is>
          <t>v0.3-2026-06-29</t>
        </is>
      </c>
      <c r="AT226" s="3" t="n"/>
    </row>
    <row r="227">
      <c r="A227" t="inlineStr">
        <is>
          <t>C-0204</t>
        </is>
      </c>
      <c r="B227" t="inlineStr">
        <is>
          <t>Jet</t>
        </is>
      </c>
      <c r="C227" t="inlineStr">
        <is>
          <t>Black Amber</t>
        </is>
      </c>
      <c r="D227" t="inlineStr">
        <is>
          <t>Organic Material</t>
        </is>
      </c>
      <c r="E227" t="inlineStr">
        <is>
          <t>Jet</t>
        </is>
      </c>
      <c r="F227" t="n">
        <v>2</v>
      </c>
      <c r="G227" t="n">
        <v>10</v>
      </c>
      <c r="H227" t="n">
        <v>204</v>
      </c>
      <c r="I227" t="n">
        <v>204</v>
      </c>
      <c r="J227" t="inlineStr">
        <is>
          <t>Jadeite</t>
        </is>
      </c>
      <c r="K227" t="inlineStr">
        <is>
          <t>jadeite</t>
        </is>
      </c>
      <c r="L227" t="inlineStr">
        <is>
          <t>K2 Jasper</t>
        </is>
      </c>
      <c r="M227" t="inlineStr">
        <is>
          <t>k2-jasper</t>
        </is>
      </c>
      <c r="N227" t="b">
        <v>0</v>
      </c>
      <c r="O227" t="inlineStr">
        <is>
          <t>jet</t>
        </is>
      </c>
      <c r="P227" t="inlineStr">
        <is>
          <t>Not Started</t>
        </is>
      </c>
      <c r="Q227" t="inlineStr">
        <is>
          <t>Root</t>
        </is>
      </c>
      <c r="R227" t="inlineStr">
        <is>
          <t>Earth Star</t>
        </is>
      </c>
      <c r="S227" t="inlineStr">
        <is>
          <t>Root</t>
        </is>
      </c>
      <c r="X227" t="inlineStr">
        <is>
          <t>Organic material</t>
        </is>
      </c>
      <c r="Z227" s="3" t="inlineStr">
        <is>
          <t>Gentle protection</t>
        </is>
      </c>
      <c r="AA227" s="3" t="inlineStr">
        <is>
          <t>Use when you are carrying sadness or heaviness and need quiet support without being pushed toward premature closure.</t>
        </is>
      </c>
      <c r="AB227" s="3" t="n"/>
      <c r="AC227" t="inlineStr">
        <is>
          <t>Protection</t>
        </is>
      </c>
      <c r="AD227" t="inlineStr">
        <is>
          <t>Heart Healing</t>
        </is>
      </c>
      <c r="AF227" t="inlineStr">
        <is>
          <t>["Protection","Healing","Grounding"]</t>
        </is>
      </c>
      <c r="AK227" t="b">
        <v>0</v>
      </c>
      <c r="AL227" t="inlineStr">
        <is>
          <t>Unreviewed</t>
        </is>
      </c>
      <c r="AM227" t="inlineStr">
        <is>
          <t>Not Started</t>
        </is>
      </c>
      <c r="AN227" t="inlineStr">
        <is>
          <t>Not Started</t>
        </is>
      </c>
      <c r="AO227" t="inlineStr">
        <is>
          <t>Not Started</t>
        </is>
      </c>
      <c r="AP227" t="inlineStr">
        <is>
          <t>Not Started</t>
        </is>
      </c>
      <c r="AR227" t="inlineStr">
        <is>
          <t>v0.3-2026-06-29</t>
        </is>
      </c>
      <c r="AT227" s="3" t="n"/>
    </row>
    <row r="228">
      <c r="A228" t="inlineStr">
        <is>
          <t>C-0091</t>
        </is>
      </c>
      <c r="B228" t="inlineStr">
        <is>
          <t>Laguna Jasper</t>
        </is>
      </c>
      <c r="D228" t="inlineStr">
        <is>
          <t>Quartz</t>
        </is>
      </c>
      <c r="E228" t="inlineStr">
        <is>
          <t>Quartz</t>
        </is>
      </c>
      <c r="F228" t="n">
        <v>3</v>
      </c>
      <c r="G228" t="n">
        <v>22</v>
      </c>
      <c r="H228" t="n">
        <v>91</v>
      </c>
      <c r="I228" t="n">
        <v>91</v>
      </c>
      <c r="J228" t="inlineStr">
        <is>
          <t>Labradorite</t>
        </is>
      </c>
      <c r="K228" t="inlineStr">
        <is>
          <t>labradorite</t>
        </is>
      </c>
      <c r="L228" t="inlineStr">
        <is>
          <t>Lapis Lazuli</t>
        </is>
      </c>
      <c r="M228" t="inlineStr">
        <is>
          <t>lapis-lazuli</t>
        </is>
      </c>
      <c r="N228" t="b">
        <v>0</v>
      </c>
      <c r="O228" t="inlineStr">
        <is>
          <t>laguna-jasper</t>
        </is>
      </c>
      <c r="P228" t="inlineStr">
        <is>
          <t>Not Started</t>
        </is>
      </c>
      <c r="Q228" t="inlineStr">
        <is>
          <t>Sacral</t>
        </is>
      </c>
      <c r="R228" t="inlineStr">
        <is>
          <t>Root</t>
        </is>
      </c>
      <c r="S228" t="inlineStr">
        <is>
          <t>Sacral</t>
        </is>
      </c>
      <c r="X228" t="inlineStr">
        <is>
          <t>Mineral</t>
        </is>
      </c>
      <c r="Z228" s="3" t="inlineStr">
        <is>
          <t>Renewed enthusiasm</t>
        </is>
      </c>
      <c r="AA228" s="3" t="inlineStr">
        <is>
          <t>Use when routine has flattened your energy and you need to reconnect with curiosity, color, and genuine enjoyment.</t>
        </is>
      </c>
      <c r="AB228" s="3" t="n"/>
      <c r="AC228" t="inlineStr">
        <is>
          <t>Emotional Balance</t>
        </is>
      </c>
      <c r="AD228" t="inlineStr">
        <is>
          <t>Calm &amp; Peace</t>
        </is>
      </c>
      <c r="AF228" t="inlineStr">
        <is>
          <t>["Resilience","Creativity","Vitality"]</t>
        </is>
      </c>
      <c r="AK228" t="b">
        <v>0</v>
      </c>
      <c r="AL228" t="inlineStr">
        <is>
          <t>Unreviewed</t>
        </is>
      </c>
      <c r="AM228" t="inlineStr">
        <is>
          <t>Not Started</t>
        </is>
      </c>
      <c r="AN228" t="inlineStr">
        <is>
          <t>Not Started</t>
        </is>
      </c>
      <c r="AO228" t="inlineStr">
        <is>
          <t>Not Started</t>
        </is>
      </c>
      <c r="AP228" t="inlineStr">
        <is>
          <t>Not Started</t>
        </is>
      </c>
      <c r="AR228" t="inlineStr">
        <is>
          <t>v0.3-2026-06-29</t>
        </is>
      </c>
      <c r="AT228" s="3" t="n"/>
    </row>
    <row r="229">
      <c r="A229" t="inlineStr">
        <is>
          <t>C-0322</t>
        </is>
      </c>
      <c r="B229" t="inlineStr">
        <is>
          <t>Lemurian Aquatine Calcite</t>
        </is>
      </c>
      <c r="D229" t="inlineStr">
        <is>
          <t>Calcite</t>
        </is>
      </c>
      <c r="E229" t="inlineStr">
        <is>
          <t>Calcite</t>
        </is>
      </c>
      <c r="F229" t="n">
        <v>3</v>
      </c>
      <c r="G229" t="n">
        <v>22</v>
      </c>
      <c r="H229" t="n">
        <v>322</v>
      </c>
      <c r="I229" t="n">
        <v>322</v>
      </c>
      <c r="J229" t="inlineStr">
        <is>
          <t>Lazulite</t>
        </is>
      </c>
      <c r="K229" t="inlineStr">
        <is>
          <t>lazulite</t>
        </is>
      </c>
      <c r="L229" t="inlineStr">
        <is>
          <t>Lemurian Seed Crystal</t>
        </is>
      </c>
      <c r="M229" t="inlineStr">
        <is>
          <t>lemurian-seed-crystal</t>
        </is>
      </c>
      <c r="N229" t="b">
        <v>0</v>
      </c>
      <c r="O229" t="inlineStr">
        <is>
          <t>lemurian-aquatine-calcite</t>
        </is>
      </c>
      <c r="P229" t="inlineStr">
        <is>
          <t>Not Started</t>
        </is>
      </c>
      <c r="Q229" t="inlineStr">
        <is>
          <t>Throat</t>
        </is>
      </c>
      <c r="R229" t="inlineStr">
        <is>
          <t>Heart</t>
        </is>
      </c>
      <c r="S229" t="inlineStr">
        <is>
          <t>Throat</t>
        </is>
      </c>
      <c r="X229" t="inlineStr">
        <is>
          <t>Mineral</t>
        </is>
      </c>
      <c r="Z229" s="3" t="inlineStr">
        <is>
          <t>Peaceful surrender</t>
        </is>
      </c>
      <c r="AA229" s="3" t="inlineStr">
        <is>
          <t>Use when uncertainty is making you grip too tightly and you need to allow a situation to unfold without constant intervention.</t>
        </is>
      </c>
      <c r="AB229" s="3" t="n"/>
      <c r="AC229" t="inlineStr">
        <is>
          <t>Calm &amp; Peace</t>
        </is>
      </c>
      <c r="AD229" t="inlineStr">
        <is>
          <t>Emotional Balance</t>
        </is>
      </c>
      <c r="AF229" t="inlineStr">
        <is>
          <t>["Peace","Acceptance","Release"]</t>
        </is>
      </c>
      <c r="AK229" t="b">
        <v>0</v>
      </c>
      <c r="AL229" t="inlineStr">
        <is>
          <t>Unreviewed</t>
        </is>
      </c>
      <c r="AM229" t="inlineStr">
        <is>
          <t>Not Started</t>
        </is>
      </c>
      <c r="AN229" t="inlineStr">
        <is>
          <t>Not Started</t>
        </is>
      </c>
      <c r="AO229" t="inlineStr">
        <is>
          <t>Not Started</t>
        </is>
      </c>
      <c r="AP229" t="inlineStr">
        <is>
          <t>Not Started</t>
        </is>
      </c>
      <c r="AR229" t="inlineStr">
        <is>
          <t>v0.3-2026-06-29</t>
        </is>
      </c>
      <c r="AT229" s="3" t="n"/>
    </row>
    <row r="230">
      <c r="A230" t="inlineStr">
        <is>
          <t>C-0323</t>
        </is>
      </c>
      <c r="B230" t="inlineStr">
        <is>
          <t>Lemurian Seed Crystal</t>
        </is>
      </c>
      <c r="D230" t="inlineStr">
        <is>
          <t>Quartz</t>
        </is>
      </c>
      <c r="E230" t="inlineStr">
        <is>
          <t>Quartz</t>
        </is>
      </c>
      <c r="F230" t="n">
        <v>3</v>
      </c>
      <c r="G230" t="n">
        <v>22</v>
      </c>
      <c r="H230" t="n">
        <v>323</v>
      </c>
      <c r="I230" t="n">
        <v>323</v>
      </c>
      <c r="J230" t="inlineStr">
        <is>
          <t>Lemurian Aquatine Calcite</t>
        </is>
      </c>
      <c r="K230" t="inlineStr">
        <is>
          <t>lemurian-aquatine-calcite</t>
        </is>
      </c>
      <c r="L230" t="inlineStr">
        <is>
          <t>Leopard Skin Jasper</t>
        </is>
      </c>
      <c r="M230" t="inlineStr">
        <is>
          <t>leopard-skin-jasper</t>
        </is>
      </c>
      <c r="N230" t="b">
        <v>0</v>
      </c>
      <c r="O230" t="inlineStr">
        <is>
          <t>lemurian-seed-crystal</t>
        </is>
      </c>
      <c r="P230" t="inlineStr">
        <is>
          <t>Not Started</t>
        </is>
      </c>
      <c r="Q230" t="inlineStr">
        <is>
          <t>Crown</t>
        </is>
      </c>
      <c r="S230" t="inlineStr">
        <is>
          <t>Crown</t>
        </is>
      </c>
      <c r="X230" t="inlineStr">
        <is>
          <t>Mineral</t>
        </is>
      </c>
      <c r="Z230" s="3" t="inlineStr">
        <is>
          <t>Intentional growth</t>
        </is>
      </c>
      <c r="AA230" s="3" t="inlineStr">
        <is>
          <t>Use when you are beginning a spiritual or personal practice and want to approach it with consistency rather than novelty.</t>
        </is>
      </c>
      <c r="AB230" s="3" t="n"/>
      <c r="AC230" t="inlineStr">
        <is>
          <t>Spiritual Connection</t>
        </is>
      </c>
      <c r="AD230" t="inlineStr">
        <is>
          <t>Intuition</t>
        </is>
      </c>
      <c r="AF230" t="inlineStr">
        <is>
          <t>["Spirit","Growth","Attunement"]</t>
        </is>
      </c>
      <c r="AK230" t="b">
        <v>0</v>
      </c>
      <c r="AL230" t="inlineStr">
        <is>
          <t>Unreviewed</t>
        </is>
      </c>
      <c r="AM230" t="inlineStr">
        <is>
          <t>Not Started</t>
        </is>
      </c>
      <c r="AN230" t="inlineStr">
        <is>
          <t>Not Started</t>
        </is>
      </c>
      <c r="AO230" t="inlineStr">
        <is>
          <t>Not Started</t>
        </is>
      </c>
      <c r="AP230" t="inlineStr">
        <is>
          <t>Not Started</t>
        </is>
      </c>
      <c r="AR230" t="inlineStr">
        <is>
          <t>v0.3-2026-06-29</t>
        </is>
      </c>
      <c r="AT230" s="3" t="n"/>
    </row>
    <row r="231">
      <c r="A231" t="inlineStr">
        <is>
          <t>C-0324</t>
        </is>
      </c>
      <c r="B231" t="inlineStr">
        <is>
          <t>Lepidocrocite</t>
        </is>
      </c>
      <c r="D231" t="inlineStr">
        <is>
          <t>Oxides</t>
        </is>
      </c>
      <c r="E231" t="inlineStr">
        <is>
          <t>Lepidocrocite</t>
        </is>
      </c>
      <c r="F231" t="n">
        <v>3</v>
      </c>
      <c r="G231" t="n">
        <v>22</v>
      </c>
      <c r="H231" t="n">
        <v>0</v>
      </c>
      <c r="I231" t="n">
        <v>0</v>
      </c>
      <c r="J231" t="inlineStr">
        <is>
          <t>Leopard Skin Jasper</t>
        </is>
      </c>
      <c r="K231" t="inlineStr">
        <is>
          <t>leopard-skin-jasper</t>
        </is>
      </c>
      <c r="L231" t="inlineStr">
        <is>
          <t>Lepidolite</t>
        </is>
      </c>
      <c r="M231" t="inlineStr">
        <is>
          <t>lepidolite</t>
        </is>
      </c>
      <c r="N231" t="b">
        <v>0</v>
      </c>
      <c r="O231" t="inlineStr">
        <is>
          <t>lepidocrocite</t>
        </is>
      </c>
      <c r="P231" t="inlineStr">
        <is>
          <t>Not Started</t>
        </is>
      </c>
      <c r="Q231" t="inlineStr">
        <is>
          <t>Heart</t>
        </is>
      </c>
      <c r="R231" t="inlineStr">
        <is>
          <t>Root</t>
        </is>
      </c>
      <c r="S231" t="inlineStr">
        <is>
          <t>Heart</t>
        </is>
      </c>
      <c r="X231" t="inlineStr">
        <is>
          <t>Mineral</t>
        </is>
      </c>
      <c r="Z231" s="3" t="inlineStr">
        <is>
          <t>Emotional insight</t>
        </is>
      </c>
      <c r="AA231" s="3" t="inlineStr">
        <is>
          <t>Use when a strong reaction is telling you there is more happening beneath the surface than the immediate situation explains.</t>
        </is>
      </c>
      <c r="AB231" s="3" t="n"/>
      <c r="AC231" t="inlineStr">
        <is>
          <t>Heart Healing</t>
        </is>
      </c>
      <c r="AD231" t="inlineStr">
        <is>
          <t>Emotional Balance</t>
        </is>
      </c>
      <c r="AF231" t="inlineStr">
        <is>
          <t>["Insight","Compassion","Healing"]</t>
        </is>
      </c>
      <c r="AK231" t="b">
        <v>0</v>
      </c>
      <c r="AL231" t="inlineStr">
        <is>
          <t>Unreviewed</t>
        </is>
      </c>
      <c r="AM231" t="inlineStr">
        <is>
          <t>Not Started</t>
        </is>
      </c>
      <c r="AN231" t="inlineStr">
        <is>
          <t>Not Started</t>
        </is>
      </c>
      <c r="AO231" t="inlineStr">
        <is>
          <t>Not Started</t>
        </is>
      </c>
      <c r="AP231" t="inlineStr">
        <is>
          <t>Not Started</t>
        </is>
      </c>
      <c r="AR231" t="inlineStr">
        <is>
          <t>v0.3-2026-06-29</t>
        </is>
      </c>
      <c r="AT231" s="3" t="n"/>
    </row>
    <row r="232">
      <c r="A232" t="inlineStr">
        <is>
          <t>C-0325</t>
        </is>
      </c>
      <c r="B232" t="inlineStr">
        <is>
          <t>Lithium Quartz</t>
        </is>
      </c>
      <c r="D232" t="inlineStr">
        <is>
          <t>Quartz</t>
        </is>
      </c>
      <c r="E232" t="inlineStr">
        <is>
          <t>Quartz</t>
        </is>
      </c>
      <c r="F232" t="n">
        <v>3</v>
      </c>
      <c r="G232" t="n">
        <v>22</v>
      </c>
      <c r="H232" t="n">
        <v>325</v>
      </c>
      <c r="I232" t="n">
        <v>325</v>
      </c>
      <c r="J232" t="inlineStr">
        <is>
          <t>Libyan Desert Glass</t>
        </is>
      </c>
      <c r="K232" t="inlineStr">
        <is>
          <t>libyan-desert-glass</t>
        </is>
      </c>
      <c r="L232" t="inlineStr">
        <is>
          <t>Lodestone</t>
        </is>
      </c>
      <c r="M232" t="inlineStr">
        <is>
          <t>lodestone</t>
        </is>
      </c>
      <c r="N232" t="b">
        <v>0</v>
      </c>
      <c r="O232" t="inlineStr">
        <is>
          <t>lithium-quartz</t>
        </is>
      </c>
      <c r="P232" t="inlineStr">
        <is>
          <t>Not Started</t>
        </is>
      </c>
      <c r="Q232" t="inlineStr">
        <is>
          <t>Crown</t>
        </is>
      </c>
      <c r="R232" t="inlineStr">
        <is>
          <t>Heart</t>
        </is>
      </c>
      <c r="S232" t="inlineStr">
        <is>
          <t>Crown</t>
        </is>
      </c>
      <c r="X232" t="inlineStr">
        <is>
          <t>Mineral</t>
        </is>
      </c>
      <c r="Z232" s="3" t="inlineStr">
        <is>
          <t>Emotional calming</t>
        </is>
      </c>
      <c r="AA232" s="3" t="inlineStr">
        <is>
          <t>Use when your nervous system feels overstimulated and you need to soften the intensity before making decisions or having conversations.</t>
        </is>
      </c>
      <c r="AB232" s="3" t="n"/>
      <c r="AC232" t="inlineStr">
        <is>
          <t>Calm &amp; Peace</t>
        </is>
      </c>
      <c r="AD232" t="inlineStr">
        <is>
          <t>Emotional Balance</t>
        </is>
      </c>
      <c r="AF232" t="inlineStr">
        <is>
          <t>["Calm","Balance","Peace"]</t>
        </is>
      </c>
      <c r="AK232" t="b">
        <v>0</v>
      </c>
      <c r="AL232" t="inlineStr">
        <is>
          <t>Unreviewed</t>
        </is>
      </c>
      <c r="AM232" t="inlineStr">
        <is>
          <t>Not Started</t>
        </is>
      </c>
      <c r="AN232" t="inlineStr">
        <is>
          <t>Not Started</t>
        </is>
      </c>
      <c r="AO232" t="inlineStr">
        <is>
          <t>Not Started</t>
        </is>
      </c>
      <c r="AP232" t="inlineStr">
        <is>
          <t>Not Started</t>
        </is>
      </c>
      <c r="AR232" t="inlineStr">
        <is>
          <t>v0.3-2026-06-29</t>
        </is>
      </c>
      <c r="AT232" s="3" t="n"/>
    </row>
    <row r="233">
      <c r="A233" t="inlineStr">
        <is>
          <t>C-0042</t>
        </is>
      </c>
      <c r="B233" t="inlineStr">
        <is>
          <t>Lodestone</t>
        </is>
      </c>
      <c r="C233" t="inlineStr">
        <is>
          <t>Magnetic Magnetite</t>
        </is>
      </c>
      <c r="D233" t="inlineStr">
        <is>
          <t>Iron Minerals</t>
        </is>
      </c>
      <c r="E233" t="inlineStr">
        <is>
          <t>Magnetite</t>
        </is>
      </c>
      <c r="F233" t="n">
        <v>3</v>
      </c>
      <c r="G233" t="n">
        <v>22</v>
      </c>
      <c r="H233" t="n">
        <v>42</v>
      </c>
      <c r="I233" t="n">
        <v>42</v>
      </c>
      <c r="J233" t="inlineStr">
        <is>
          <t>Lithium Quartz</t>
        </is>
      </c>
      <c r="K233" t="inlineStr">
        <is>
          <t>lithium-quartz</t>
        </is>
      </c>
      <c r="L233" t="inlineStr">
        <is>
          <t>Lodolite Quartz</t>
        </is>
      </c>
      <c r="M233" t="inlineStr">
        <is>
          <t>lodolite-quartz</t>
        </is>
      </c>
      <c r="N233" t="b">
        <v>0</v>
      </c>
      <c r="O233" t="inlineStr">
        <is>
          <t>lodestone</t>
        </is>
      </c>
      <c r="P233" t="inlineStr">
        <is>
          <t>Not Started</t>
        </is>
      </c>
      <c r="Q233" t="inlineStr">
        <is>
          <t>Root</t>
        </is>
      </c>
      <c r="S233" t="inlineStr">
        <is>
          <t>Root</t>
        </is>
      </c>
      <c r="X233" t="inlineStr">
        <is>
          <t>Mineral</t>
        </is>
      </c>
      <c r="Z233" s="3" t="inlineStr">
        <is>
          <t>Focused attraction</t>
        </is>
      </c>
      <c r="AA233" s="3" t="inlineStr">
        <is>
          <t>Use when you know what you want to build or invite into your life but your actions are not yet aligned with that intention.</t>
        </is>
      </c>
      <c r="AB233" s="3" t="n"/>
      <c r="AC233" t="inlineStr">
        <is>
          <t>Manifestation</t>
        </is>
      </c>
      <c r="AF233" t="inlineStr">
        <is>
          <t>["Attraction","Alignment","Purpose"]</t>
        </is>
      </c>
      <c r="AK233" t="b">
        <v>0</v>
      </c>
      <c r="AL233" t="inlineStr">
        <is>
          <t>Unreviewed</t>
        </is>
      </c>
      <c r="AM233" t="inlineStr">
        <is>
          <t>Not Started</t>
        </is>
      </c>
      <c r="AN233" t="inlineStr">
        <is>
          <t>Not Started</t>
        </is>
      </c>
      <c r="AO233" t="inlineStr">
        <is>
          <t>Not Started</t>
        </is>
      </c>
      <c r="AP233" t="inlineStr">
        <is>
          <t>Not Started</t>
        </is>
      </c>
      <c r="AR233" t="inlineStr">
        <is>
          <t>v0.3-2026-06-29</t>
        </is>
      </c>
      <c r="AT233" s="3" t="n"/>
    </row>
    <row r="234">
      <c r="A234" t="inlineStr">
        <is>
          <t>C-0043</t>
        </is>
      </c>
      <c r="B234" t="inlineStr">
        <is>
          <t>Magnetite</t>
        </is>
      </c>
      <c r="D234" t="inlineStr">
        <is>
          <t>Iron Minerals</t>
        </is>
      </c>
      <c r="E234" t="inlineStr">
        <is>
          <t>Magnetite</t>
        </is>
      </c>
      <c r="F234" t="n">
        <v>3</v>
      </c>
      <c r="G234" t="n">
        <v>22</v>
      </c>
      <c r="H234" t="n">
        <v>43</v>
      </c>
      <c r="I234" t="n">
        <v>43</v>
      </c>
      <c r="J234" t="inlineStr">
        <is>
          <t>Magnesite</t>
        </is>
      </c>
      <c r="K234" t="inlineStr">
        <is>
          <t>magnesite</t>
        </is>
      </c>
      <c r="L234" t="inlineStr">
        <is>
          <t>Mahogany Obsidian</t>
        </is>
      </c>
      <c r="M234" t="inlineStr">
        <is>
          <t>mahogany-obsidian</t>
        </is>
      </c>
      <c r="N234" t="b">
        <v>0</v>
      </c>
      <c r="O234" t="inlineStr">
        <is>
          <t>magnetite</t>
        </is>
      </c>
      <c r="P234" t="inlineStr">
        <is>
          <t>Not Started</t>
        </is>
      </c>
      <c r="Q234" t="inlineStr">
        <is>
          <t>Root</t>
        </is>
      </c>
      <c r="S234" t="inlineStr">
        <is>
          <t>Root</t>
        </is>
      </c>
      <c r="X234" t="inlineStr">
        <is>
          <t>Mineral</t>
        </is>
      </c>
      <c r="Z234" s="3" t="inlineStr">
        <is>
          <t>Energetic alignment</t>
        </is>
      </c>
      <c r="AA234" s="3" t="inlineStr">
        <is>
          <t>Use when too many competing demands have left you unfocused and disconnected from your central priorities.</t>
        </is>
      </c>
      <c r="AB234" s="3" t="n"/>
      <c r="AC234" t="inlineStr">
        <is>
          <t>Grounding</t>
        </is>
      </c>
      <c r="AD234" t="inlineStr">
        <is>
          <t>Manifestation</t>
        </is>
      </c>
      <c r="AF234" t="inlineStr">
        <is>
          <t>["Grounding","Alignment","Focus"]</t>
        </is>
      </c>
      <c r="AK234" t="b">
        <v>0</v>
      </c>
      <c r="AL234" t="inlineStr">
        <is>
          <t>Unreviewed</t>
        </is>
      </c>
      <c r="AM234" t="inlineStr">
        <is>
          <t>Not Started</t>
        </is>
      </c>
      <c r="AN234" t="inlineStr">
        <is>
          <t>Not Started</t>
        </is>
      </c>
      <c r="AO234" t="inlineStr">
        <is>
          <t>Not Started</t>
        </is>
      </c>
      <c r="AP234" t="inlineStr">
        <is>
          <t>Not Started</t>
        </is>
      </c>
      <c r="AR234" t="inlineStr">
        <is>
          <t>v0.3-2026-06-29</t>
        </is>
      </c>
      <c r="AT234" s="3" t="n"/>
    </row>
    <row r="235">
      <c r="A235" t="inlineStr">
        <is>
          <t>C-0327</t>
        </is>
      </c>
      <c r="B235" t="inlineStr">
        <is>
          <t>Marcasite</t>
        </is>
      </c>
      <c r="D235" t="inlineStr">
        <is>
          <t>Sulfides</t>
        </is>
      </c>
      <c r="E235" t="inlineStr">
        <is>
          <t>Marcasite</t>
        </is>
      </c>
      <c r="F235" t="n">
        <v>3</v>
      </c>
      <c r="G235" t="n">
        <v>22</v>
      </c>
      <c r="H235" t="n">
        <v>327</v>
      </c>
      <c r="I235" t="n">
        <v>327</v>
      </c>
      <c r="J235" t="inlineStr">
        <is>
          <t>Mangano Calcite</t>
        </is>
      </c>
      <c r="K235" t="inlineStr">
        <is>
          <t>mangano-calcite</t>
        </is>
      </c>
      <c r="L235" t="inlineStr">
        <is>
          <t>Merlinite</t>
        </is>
      </c>
      <c r="M235" t="inlineStr">
        <is>
          <t>merlinite</t>
        </is>
      </c>
      <c r="N235" t="b">
        <v>0</v>
      </c>
      <c r="O235" t="inlineStr">
        <is>
          <t>marcasite</t>
        </is>
      </c>
      <c r="P235" t="inlineStr">
        <is>
          <t>Not Started</t>
        </is>
      </c>
      <c r="Q235" t="inlineStr">
        <is>
          <t>Solar Plexus</t>
        </is>
      </c>
      <c r="R235" t="inlineStr">
        <is>
          <t>Root</t>
        </is>
      </c>
      <c r="S235" t="inlineStr">
        <is>
          <t>Solar Plexus</t>
        </is>
      </c>
      <c r="X235" t="inlineStr">
        <is>
          <t>Mineral</t>
        </is>
      </c>
      <c r="Z235" s="3" t="inlineStr">
        <is>
          <t>Clear discernment</t>
        </is>
      </c>
      <c r="AA235" s="3" t="inlineStr">
        <is>
          <t>Use when something looks promising but you need to examine whether it is genuinely useful, stable, or aligned.</t>
        </is>
      </c>
      <c r="AB235" s="3" t="n"/>
      <c r="AC235" t="inlineStr">
        <is>
          <t>Confidence</t>
        </is>
      </c>
      <c r="AD235" t="inlineStr">
        <is>
          <t>Clarity &amp; Focus</t>
        </is>
      </c>
      <c r="AF235" t="inlineStr">
        <is>
          <t>["Discernment","Reflection","Clarity"]</t>
        </is>
      </c>
      <c r="AK235" t="b">
        <v>0</v>
      </c>
      <c r="AL235" t="inlineStr">
        <is>
          <t>Unreviewed</t>
        </is>
      </c>
      <c r="AM235" t="inlineStr">
        <is>
          <t>Not Started</t>
        </is>
      </c>
      <c r="AN235" t="inlineStr">
        <is>
          <t>Not Started</t>
        </is>
      </c>
      <c r="AO235" t="inlineStr">
        <is>
          <t>Not Started</t>
        </is>
      </c>
      <c r="AP235" t="inlineStr">
        <is>
          <t>Not Started</t>
        </is>
      </c>
      <c r="AR235" t="inlineStr">
        <is>
          <t>v0.3-2026-06-29</t>
        </is>
      </c>
      <c r="AT235" s="3" t="n"/>
    </row>
    <row r="236">
      <c r="A236" t="inlineStr">
        <is>
          <t>C-0328</t>
        </is>
      </c>
      <c r="B236" t="inlineStr">
        <is>
          <t>Merlinite</t>
        </is>
      </c>
      <c r="C236" t="inlineStr">
        <is>
          <t>Psilomelane (mineral name)</t>
        </is>
      </c>
      <c r="D236" t="inlineStr">
        <is>
          <t>Oxides</t>
        </is>
      </c>
      <c r="E236" t="inlineStr">
        <is>
          <t>Psilomelane</t>
        </is>
      </c>
      <c r="F236" t="n">
        <v>3</v>
      </c>
      <c r="G236" t="n">
        <v>23</v>
      </c>
      <c r="H236" t="n">
        <v>328</v>
      </c>
      <c r="I236" t="n">
        <v>328</v>
      </c>
      <c r="J236" t="inlineStr">
        <is>
          <t>Marcasite</t>
        </is>
      </c>
      <c r="K236" t="inlineStr">
        <is>
          <t>marcasite</t>
        </is>
      </c>
      <c r="L236" t="inlineStr">
        <is>
          <t>Meteorite</t>
        </is>
      </c>
      <c r="M236" t="inlineStr">
        <is>
          <t>meteorite</t>
        </is>
      </c>
      <c r="N236" t="b">
        <v>0</v>
      </c>
      <c r="O236" t="inlineStr">
        <is>
          <t>merlinite</t>
        </is>
      </c>
      <c r="P236" t="inlineStr">
        <is>
          <t>Not Started</t>
        </is>
      </c>
      <c r="Q236" t="inlineStr">
        <is>
          <t>Third Eye</t>
        </is>
      </c>
      <c r="R236" t="inlineStr">
        <is>
          <t>Root</t>
        </is>
      </c>
      <c r="S236" t="inlineStr">
        <is>
          <t>Third Eye</t>
        </is>
      </c>
      <c r="X236" t="inlineStr">
        <is>
          <t>Mineral</t>
        </is>
      </c>
      <c r="Z236" s="3" t="inlineStr">
        <is>
          <t>Integrated intuition</t>
        </is>
      </c>
      <c r="AA236" s="3" t="inlineStr">
        <is>
          <t>Use when a situation contains conflicting signals and you need to hold more than one possibility without rushing to certainty.</t>
        </is>
      </c>
      <c r="AB236" s="3" t="n"/>
      <c r="AC236" t="inlineStr">
        <is>
          <t>Intuition</t>
        </is>
      </c>
      <c r="AD236" t="inlineStr">
        <is>
          <t>Transformation</t>
        </is>
      </c>
      <c r="AF236" t="inlineStr">
        <is>
          <t>["Intuition","Integration","Balance"]</t>
        </is>
      </c>
      <c r="AK236" t="b">
        <v>0</v>
      </c>
      <c r="AL236" t="inlineStr">
        <is>
          <t>Unreviewed</t>
        </is>
      </c>
      <c r="AM236" t="inlineStr">
        <is>
          <t>Not Started</t>
        </is>
      </c>
      <c r="AN236" t="inlineStr">
        <is>
          <t>Not Started</t>
        </is>
      </c>
      <c r="AO236" t="inlineStr">
        <is>
          <t>Not Started</t>
        </is>
      </c>
      <c r="AP236" t="inlineStr">
        <is>
          <t>Not Started</t>
        </is>
      </c>
      <c r="AR236" t="inlineStr">
        <is>
          <t>v0.3-2026-06-29</t>
        </is>
      </c>
      <c r="AT236" s="3" t="n"/>
    </row>
    <row r="237">
      <c r="A237" t="inlineStr">
        <is>
          <t>C-0260</t>
        </is>
      </c>
      <c r="B237" t="inlineStr">
        <is>
          <t>Muscovite</t>
        </is>
      </c>
      <c r="C237" t="inlineStr">
        <is>
          <t>White Mica</t>
        </is>
      </c>
      <c r="D237" t="inlineStr">
        <is>
          <t>Silicates</t>
        </is>
      </c>
      <c r="E237" t="inlineStr">
        <is>
          <t>Muscovite</t>
        </is>
      </c>
      <c r="F237" t="n">
        <v>3</v>
      </c>
      <c r="G237" t="n">
        <v>23</v>
      </c>
      <c r="H237" t="n">
        <v>260</v>
      </c>
      <c r="I237" t="n">
        <v>260</v>
      </c>
      <c r="J237" t="inlineStr">
        <is>
          <t>Moss Agate</t>
        </is>
      </c>
      <c r="K237" t="inlineStr">
        <is>
          <t>moss-agate</t>
        </is>
      </c>
      <c r="L237" t="inlineStr">
        <is>
          <t>Natrolite</t>
        </is>
      </c>
      <c r="M237" t="inlineStr">
        <is>
          <t>natrolite</t>
        </is>
      </c>
      <c r="N237" t="b">
        <v>0</v>
      </c>
      <c r="O237" t="inlineStr">
        <is>
          <t>muscovite</t>
        </is>
      </c>
      <c r="P237" t="inlineStr">
        <is>
          <t>Not Started</t>
        </is>
      </c>
      <c r="Q237" t="inlineStr">
        <is>
          <t>Crown</t>
        </is>
      </c>
      <c r="R237" t="inlineStr">
        <is>
          <t>Third Eye</t>
        </is>
      </c>
      <c r="S237" t="inlineStr">
        <is>
          <t>Crown</t>
        </is>
      </c>
      <c r="X237" t="inlineStr">
        <is>
          <t>Mineral</t>
        </is>
      </c>
      <c r="Z237" s="3" t="inlineStr">
        <is>
          <t>Honest reflection</t>
        </is>
      </c>
      <c r="AA237" s="3" t="inlineStr">
        <is>
          <t>Use when you need to examine your role in a situation without collapsing into shame or shifting all responsibility elsewhere.</t>
        </is>
      </c>
      <c r="AB237" s="3" t="n"/>
      <c r="AC237" t="inlineStr">
        <is>
          <t>Clarity &amp; Focus</t>
        </is>
      </c>
      <c r="AD237" t="inlineStr">
        <is>
          <t>Transformation</t>
        </is>
      </c>
      <c r="AF237" t="inlineStr">
        <is>
          <t>["Reflection","Clarity","Insight"]</t>
        </is>
      </c>
      <c r="AK237" t="b">
        <v>0</v>
      </c>
      <c r="AL237" t="inlineStr">
        <is>
          <t>Unreviewed</t>
        </is>
      </c>
      <c r="AM237" t="inlineStr">
        <is>
          <t>Not Started</t>
        </is>
      </c>
      <c r="AN237" t="inlineStr">
        <is>
          <t>Not Started</t>
        </is>
      </c>
      <c r="AO237" t="inlineStr">
        <is>
          <t>Not Started</t>
        </is>
      </c>
      <c r="AP237" t="inlineStr">
        <is>
          <t>Not Started</t>
        </is>
      </c>
      <c r="AR237" t="inlineStr">
        <is>
          <t>v0.3-2026-06-29</t>
        </is>
      </c>
      <c r="AT237" s="3" t="n"/>
    </row>
    <row r="238">
      <c r="A238" t="inlineStr">
        <is>
          <t>C-0163</t>
        </is>
      </c>
      <c r="B238" t="inlineStr">
        <is>
          <t>Opal</t>
        </is>
      </c>
      <c r="D238" t="inlineStr">
        <is>
          <t>Opal</t>
        </is>
      </c>
      <c r="E238" t="inlineStr">
        <is>
          <t>Opal</t>
        </is>
      </c>
      <c r="F238" t="n">
        <v>3</v>
      </c>
      <c r="G238" t="n">
        <v>23</v>
      </c>
      <c r="H238" t="n">
        <v>163</v>
      </c>
      <c r="I238" t="n">
        <v>163</v>
      </c>
      <c r="J238" t="inlineStr">
        <is>
          <t>Onyx</t>
        </is>
      </c>
      <c r="K238" t="inlineStr">
        <is>
          <t>onyx</t>
        </is>
      </c>
      <c r="L238" t="inlineStr">
        <is>
          <t>Opalite</t>
        </is>
      </c>
      <c r="M238" t="inlineStr">
        <is>
          <t>opalite</t>
        </is>
      </c>
      <c r="N238" t="b">
        <v>0</v>
      </c>
      <c r="O238" t="inlineStr">
        <is>
          <t>opal</t>
        </is>
      </c>
      <c r="P238" t="inlineStr">
        <is>
          <t>Not Started</t>
        </is>
      </c>
      <c r="Q238" t="inlineStr">
        <is>
          <t>Crown</t>
        </is>
      </c>
      <c r="S238" t="inlineStr">
        <is>
          <t>Crown</t>
        </is>
      </c>
      <c r="X238" t="inlineStr">
        <is>
          <t>Mineraloid</t>
        </is>
      </c>
      <c r="Z238" s="3" t="inlineStr">
        <is>
          <t>Emotional awareness</t>
        </is>
      </c>
      <c r="AA238" s="3" t="inlineStr">
        <is>
          <t>Use when your emotions feel vivid but unclear and you need to understand what they are trying to show you.</t>
        </is>
      </c>
      <c r="AB238" s="3" t="n"/>
      <c r="AC238" t="inlineStr">
        <is>
          <t>Protection</t>
        </is>
      </c>
      <c r="AD238" t="inlineStr">
        <is>
          <t>Communication</t>
        </is>
      </c>
      <c r="AF238" t="inlineStr">
        <is>
          <t>["Imagination","Creativity","Insight"]</t>
        </is>
      </c>
      <c r="AK238" t="b">
        <v>0</v>
      </c>
      <c r="AL238" t="inlineStr">
        <is>
          <t>Unreviewed</t>
        </is>
      </c>
      <c r="AM238" t="inlineStr">
        <is>
          <t>Not Started</t>
        </is>
      </c>
      <c r="AN238" t="inlineStr">
        <is>
          <t>Not Started</t>
        </is>
      </c>
      <c r="AO238" t="inlineStr">
        <is>
          <t>Not Started</t>
        </is>
      </c>
      <c r="AP238" t="inlineStr">
        <is>
          <t>Not Started</t>
        </is>
      </c>
      <c r="AR238" t="inlineStr">
        <is>
          <t>v0.3-2026-06-29</t>
        </is>
      </c>
      <c r="AT238" s="3" t="n"/>
    </row>
    <row r="239">
      <c r="A239" t="inlineStr">
        <is>
          <t>C-0015</t>
        </is>
      </c>
      <c r="B239" t="inlineStr">
        <is>
          <t>Optical Calcite</t>
        </is>
      </c>
      <c r="C239" t="inlineStr">
        <is>
          <t>Iceland Spar, Clear Calcite</t>
        </is>
      </c>
      <c r="D239" t="inlineStr">
        <is>
          <t>Calcite</t>
        </is>
      </c>
      <c r="E239" t="inlineStr">
        <is>
          <t>Calcite</t>
        </is>
      </c>
      <c r="F239" t="n">
        <v>3</v>
      </c>
      <c r="G239" t="n">
        <v>23</v>
      </c>
      <c r="H239" t="n">
        <v>15</v>
      </c>
      <c r="I239" t="n">
        <v>15</v>
      </c>
      <c r="J239" t="inlineStr">
        <is>
          <t>Opalite</t>
        </is>
      </c>
      <c r="K239" t="inlineStr">
        <is>
          <t>opalite</t>
        </is>
      </c>
      <c r="L239" t="inlineStr">
        <is>
          <t>Orange Calcite</t>
        </is>
      </c>
      <c r="M239" t="inlineStr">
        <is>
          <t>orange-calcite</t>
        </is>
      </c>
      <c r="N239" t="b">
        <v>0</v>
      </c>
      <c r="O239" t="inlineStr">
        <is>
          <t>optical-calcite</t>
        </is>
      </c>
      <c r="P239" t="inlineStr">
        <is>
          <t>Not Started</t>
        </is>
      </c>
      <c r="Q239" t="inlineStr">
        <is>
          <t>Third Eye</t>
        </is>
      </c>
      <c r="R239" t="inlineStr">
        <is>
          <t>Crown</t>
        </is>
      </c>
      <c r="S239" t="inlineStr">
        <is>
          <t>Third Eye</t>
        </is>
      </c>
      <c r="X239" t="inlineStr">
        <is>
          <t>Mineral</t>
        </is>
      </c>
      <c r="Z239" s="3" t="inlineStr">
        <is>
          <t>New perspective</t>
        </is>
      </c>
      <c r="AA239" s="3" t="inlineStr">
        <is>
          <t>Use when you are locked into one interpretation and need to consider what the situation might look like from another angle.</t>
        </is>
      </c>
      <c r="AB239" s="3" t="n"/>
      <c r="AC239" t="inlineStr">
        <is>
          <t>Clarity &amp; Focus</t>
        </is>
      </c>
      <c r="AD239" t="inlineStr">
        <is>
          <t>Amplification</t>
        </is>
      </c>
      <c r="AF239" t="inlineStr">
        <is>
          <t>["Clarity","Insight","Discernment"]</t>
        </is>
      </c>
      <c r="AK239" t="b">
        <v>0</v>
      </c>
      <c r="AL239" t="inlineStr">
        <is>
          <t>Unreviewed</t>
        </is>
      </c>
      <c r="AM239" t="inlineStr">
        <is>
          <t>Not Started</t>
        </is>
      </c>
      <c r="AN239" t="inlineStr">
        <is>
          <t>Not Started</t>
        </is>
      </c>
      <c r="AO239" t="inlineStr">
        <is>
          <t>Not Started</t>
        </is>
      </c>
      <c r="AP239" t="inlineStr">
        <is>
          <t>Not Started</t>
        </is>
      </c>
      <c r="AR239" t="inlineStr">
        <is>
          <t>v0.3-2026-06-29</t>
        </is>
      </c>
      <c r="AT239" s="3" t="n"/>
    </row>
    <row r="240">
      <c r="A240" t="inlineStr">
        <is>
          <t>C-0068</t>
        </is>
      </c>
      <c r="B240" t="inlineStr">
        <is>
          <t>Orange Kyanite</t>
        </is>
      </c>
      <c r="D240" t="inlineStr">
        <is>
          <t>Kyanite</t>
        </is>
      </c>
      <c r="E240" t="inlineStr">
        <is>
          <t>Kyanite</t>
        </is>
      </c>
      <c r="F240" t="n">
        <v>3</v>
      </c>
      <c r="G240" t="n">
        <v>23</v>
      </c>
      <c r="H240" t="n">
        <v>68</v>
      </c>
      <c r="I240" t="n">
        <v>68</v>
      </c>
      <c r="J240" t="inlineStr">
        <is>
          <t>Orange Calcite</t>
        </is>
      </c>
      <c r="K240" t="inlineStr">
        <is>
          <t>orange-calcite</t>
        </is>
      </c>
      <c r="L240" t="inlineStr">
        <is>
          <t>Orange Selenite</t>
        </is>
      </c>
      <c r="M240" t="inlineStr">
        <is>
          <t>orange-selenite</t>
        </is>
      </c>
      <c r="N240" t="b">
        <v>0</v>
      </c>
      <c r="O240" t="inlineStr">
        <is>
          <t>orange-kyanite</t>
        </is>
      </c>
      <c r="P240" t="inlineStr">
        <is>
          <t>Not Started</t>
        </is>
      </c>
      <c r="Q240" t="inlineStr">
        <is>
          <t>Sacral</t>
        </is>
      </c>
      <c r="R240" t="inlineStr">
        <is>
          <t>Throat</t>
        </is>
      </c>
      <c r="S240" t="inlineStr">
        <is>
          <t>Sacral</t>
        </is>
      </c>
      <c r="X240" t="inlineStr">
        <is>
          <t>Mineral</t>
        </is>
      </c>
      <c r="Z240" s="3" t="inlineStr">
        <is>
          <t>Creative expression</t>
        </is>
      </c>
      <c r="AA240" s="3" t="inlineStr">
        <is>
          <t>Use when you have an idea or desire you keep minimizing because expressing it feels vulnerable or self-indulgent.</t>
        </is>
      </c>
      <c r="AB240" s="3" t="n"/>
      <c r="AC240" t="inlineStr">
        <is>
          <t>Joy</t>
        </is>
      </c>
      <c r="AD240" t="inlineStr">
        <is>
          <t>Emotional Balance</t>
        </is>
      </c>
      <c r="AF240" t="inlineStr">
        <is>
          <t>["Creativity","Confidence","Expression"]</t>
        </is>
      </c>
      <c r="AK240" t="b">
        <v>0</v>
      </c>
      <c r="AL240" t="inlineStr">
        <is>
          <t>Unreviewed</t>
        </is>
      </c>
      <c r="AM240" t="inlineStr">
        <is>
          <t>Not Started</t>
        </is>
      </c>
      <c r="AN240" t="inlineStr">
        <is>
          <t>Not Started</t>
        </is>
      </c>
      <c r="AO240" t="inlineStr">
        <is>
          <t>Not Started</t>
        </is>
      </c>
      <c r="AP240" t="inlineStr">
        <is>
          <t>Not Started</t>
        </is>
      </c>
      <c r="AR240" t="inlineStr">
        <is>
          <t>v0.3-2026-06-29</t>
        </is>
      </c>
      <c r="AT240" s="3" t="n"/>
    </row>
    <row r="241">
      <c r="A241" t="inlineStr">
        <is>
          <t>C-0263</t>
        </is>
      </c>
      <c r="B241" t="inlineStr">
        <is>
          <t>Peridot</t>
        </is>
      </c>
      <c r="C241" t="inlineStr">
        <is>
          <t>Olivine</t>
        </is>
      </c>
      <c r="D241" t="inlineStr">
        <is>
          <t>Silicates</t>
        </is>
      </c>
      <c r="E241" t="inlineStr">
        <is>
          <t>Olivine</t>
        </is>
      </c>
      <c r="F241" t="n">
        <v>3</v>
      </c>
      <c r="G241" t="n">
        <v>23</v>
      </c>
      <c r="H241" t="n">
        <v>263</v>
      </c>
      <c r="I241" t="n">
        <v>263</v>
      </c>
      <c r="J241" t="inlineStr">
        <is>
          <t>Peach Moonstone</t>
        </is>
      </c>
      <c r="K241" t="inlineStr">
        <is>
          <t>peach-moonstone</t>
        </is>
      </c>
      <c r="L241" t="inlineStr">
        <is>
          <t>Petalite</t>
        </is>
      </c>
      <c r="M241" t="inlineStr">
        <is>
          <t>petalite</t>
        </is>
      </c>
      <c r="N241" t="b">
        <v>0</v>
      </c>
      <c r="O241" t="inlineStr">
        <is>
          <t>peridot</t>
        </is>
      </c>
      <c r="P241" t="inlineStr">
        <is>
          <t>Not Started</t>
        </is>
      </c>
      <c r="Q241" t="inlineStr">
        <is>
          <t>Heart</t>
        </is>
      </c>
      <c r="R241" t="inlineStr">
        <is>
          <t>Solar Plexus</t>
        </is>
      </c>
      <c r="S241" t="inlineStr">
        <is>
          <t>Heart</t>
        </is>
      </c>
      <c r="X241" t="inlineStr">
        <is>
          <t>Mineral</t>
        </is>
      </c>
      <c r="Z241" s="3" t="inlineStr">
        <is>
          <t>Confident renewal</t>
        </is>
      </c>
      <c r="AA241" s="3" t="inlineStr">
        <is>
          <t>Use when regret or comparison is preventing you from appreciating the opportunities available in your own life.</t>
        </is>
      </c>
      <c r="AB241" s="3" t="n"/>
      <c r="AC241" t="inlineStr">
        <is>
          <t>Clarity &amp; Focus</t>
        </is>
      </c>
      <c r="AD241" t="inlineStr">
        <is>
          <t>Confidence</t>
        </is>
      </c>
      <c r="AF241" t="inlineStr">
        <is>
          <t>["Renewal","Worth","Confidence"]</t>
        </is>
      </c>
      <c r="AK241" t="b">
        <v>0</v>
      </c>
      <c r="AL241" t="inlineStr">
        <is>
          <t>Unreviewed</t>
        </is>
      </c>
      <c r="AM241" t="inlineStr">
        <is>
          <t>Not Started</t>
        </is>
      </c>
      <c r="AN241" t="inlineStr">
        <is>
          <t>Not Started</t>
        </is>
      </c>
      <c r="AO241" t="inlineStr">
        <is>
          <t>Not Started</t>
        </is>
      </c>
      <c r="AP241" t="inlineStr">
        <is>
          <t>Not Started</t>
        </is>
      </c>
      <c r="AR241" t="inlineStr">
        <is>
          <t>v0.3-2026-06-29</t>
        </is>
      </c>
      <c r="AT241" s="3" t="n"/>
    </row>
    <row r="242">
      <c r="A242" t="inlineStr">
        <is>
          <t>C-0243</t>
        </is>
      </c>
      <c r="B242" t="inlineStr">
        <is>
          <t>Petalite</t>
        </is>
      </c>
      <c r="D242" t="inlineStr">
        <is>
          <t>Silicates</t>
        </is>
      </c>
      <c r="E242" t="inlineStr">
        <is>
          <t>Petalite</t>
        </is>
      </c>
      <c r="F242" t="n">
        <v>3</v>
      </c>
      <c r="G242" t="n">
        <v>23</v>
      </c>
      <c r="H242" t="n">
        <v>243</v>
      </c>
      <c r="I242" t="n">
        <v>243</v>
      </c>
      <c r="J242" t="inlineStr">
        <is>
          <t>Peridot</t>
        </is>
      </c>
      <c r="K242" t="inlineStr">
        <is>
          <t>peridot</t>
        </is>
      </c>
      <c r="L242" t="inlineStr">
        <is>
          <t>Petrified Wood</t>
        </is>
      </c>
      <c r="M242" t="inlineStr">
        <is>
          <t>petrified-wood</t>
        </is>
      </c>
      <c r="N242" t="b">
        <v>0</v>
      </c>
      <c r="O242" t="inlineStr">
        <is>
          <t>petalite</t>
        </is>
      </c>
      <c r="P242" t="inlineStr">
        <is>
          <t>Not Started</t>
        </is>
      </c>
      <c r="Q242" t="inlineStr">
        <is>
          <t>Crown</t>
        </is>
      </c>
      <c r="R242" t="inlineStr">
        <is>
          <t>Third Eye</t>
        </is>
      </c>
      <c r="S242" t="inlineStr">
        <is>
          <t>Crown</t>
        </is>
      </c>
      <c r="X242" t="inlineStr">
        <is>
          <t>Mineral</t>
        </is>
      </c>
      <c r="Z242" s="3" t="inlineStr">
        <is>
          <t>Quiet sensitivity</t>
        </is>
      </c>
      <c r="AA242" s="3" t="inlineStr">
        <is>
          <t>Use when you feel unusually sensitive to people or surroundings and need calm without shutting yourself down.</t>
        </is>
      </c>
      <c r="AB242" s="3" t="n"/>
      <c r="AC242" t="inlineStr">
        <is>
          <t>Spiritual Connection</t>
        </is>
      </c>
      <c r="AF242" t="inlineStr">
        <is>
          <t>["Peace","Awareness","Calm"]</t>
        </is>
      </c>
      <c r="AK242" t="b">
        <v>0</v>
      </c>
      <c r="AL242" t="inlineStr">
        <is>
          <t>Unreviewed</t>
        </is>
      </c>
      <c r="AM242" t="inlineStr">
        <is>
          <t>Not Started</t>
        </is>
      </c>
      <c r="AN242" t="inlineStr">
        <is>
          <t>Not Started</t>
        </is>
      </c>
      <c r="AO242" t="inlineStr">
        <is>
          <t>Not Started</t>
        </is>
      </c>
      <c r="AP242" t="inlineStr">
        <is>
          <t>Not Started</t>
        </is>
      </c>
      <c r="AR242" t="inlineStr">
        <is>
          <t>v0.3-2026-06-29</t>
        </is>
      </c>
      <c r="AT242" s="3" t="n"/>
    </row>
    <row r="243">
      <c r="A243" t="inlineStr">
        <is>
          <t>C-0210</t>
        </is>
      </c>
      <c r="B243" t="inlineStr">
        <is>
          <t>Phosphosiderite</t>
        </is>
      </c>
      <c r="D243" t="inlineStr">
        <is>
          <t>Phosphates</t>
        </is>
      </c>
      <c r="E243" t="inlineStr">
        <is>
          <t>Phosphosiderite</t>
        </is>
      </c>
      <c r="F243" t="n">
        <v>3</v>
      </c>
      <c r="G243" t="n">
        <v>23</v>
      </c>
      <c r="H243" t="n">
        <v>210</v>
      </c>
      <c r="I243" t="n">
        <v>210</v>
      </c>
      <c r="J243" t="inlineStr">
        <is>
          <t>Phoenix Stone</t>
        </is>
      </c>
      <c r="K243" t="inlineStr">
        <is>
          <t>phoenix-stone</t>
        </is>
      </c>
      <c r="L243" t="inlineStr">
        <is>
          <t>Picasso Stone</t>
        </is>
      </c>
      <c r="M243" t="inlineStr">
        <is>
          <t>picasso-stone</t>
        </is>
      </c>
      <c r="N243" t="b">
        <v>0</v>
      </c>
      <c r="O243" t="inlineStr">
        <is>
          <t>phosphosiderite</t>
        </is>
      </c>
      <c r="P243" t="inlineStr">
        <is>
          <t>Not Started</t>
        </is>
      </c>
      <c r="Q243" t="inlineStr">
        <is>
          <t>Third Eye</t>
        </is>
      </c>
      <c r="R243" t="inlineStr">
        <is>
          <t>Heart</t>
        </is>
      </c>
      <c r="S243" t="inlineStr">
        <is>
          <t>Third Eye</t>
        </is>
      </c>
      <c r="X243" t="inlineStr">
        <is>
          <t>Mineral</t>
        </is>
      </c>
      <c r="Z243" s="3" t="inlineStr">
        <is>
          <t>Self-acceptance</t>
        </is>
      </c>
      <c r="AA243" s="3" t="inlineStr">
        <is>
          <t>Use when you are exhausting yourself by arguing with how you feel instead of allowing the feeling to move through you.</t>
        </is>
      </c>
      <c r="AB243" s="3" t="n"/>
      <c r="AC243" t="inlineStr">
        <is>
          <t>Calm &amp; Peace</t>
        </is>
      </c>
      <c r="AD243" t="inlineStr">
        <is>
          <t>Spiritual Connection</t>
        </is>
      </c>
      <c r="AF243" t="inlineStr">
        <is>
          <t>["Acceptance","Peace","Calm"]</t>
        </is>
      </c>
      <c r="AK243" t="b">
        <v>0</v>
      </c>
      <c r="AL243" t="inlineStr">
        <is>
          <t>Unreviewed</t>
        </is>
      </c>
      <c r="AM243" t="inlineStr">
        <is>
          <t>Not Started</t>
        </is>
      </c>
      <c r="AN243" t="inlineStr">
        <is>
          <t>Not Started</t>
        </is>
      </c>
      <c r="AO243" t="inlineStr">
        <is>
          <t>Not Started</t>
        </is>
      </c>
      <c r="AP243" t="inlineStr">
        <is>
          <t>Not Started</t>
        </is>
      </c>
      <c r="AR243" t="inlineStr">
        <is>
          <t>v0.3-2026-06-29</t>
        </is>
      </c>
      <c r="AT243" s="3" t="n"/>
    </row>
    <row r="244">
      <c r="A244" t="inlineStr">
        <is>
          <t>C-0004</t>
        </is>
      </c>
      <c r="B244" t="inlineStr">
        <is>
          <t>Pink Aragonite</t>
        </is>
      </c>
      <c r="D244" t="inlineStr">
        <is>
          <t>Aragonite</t>
        </is>
      </c>
      <c r="E244" t="inlineStr">
        <is>
          <t>Aragonite</t>
        </is>
      </c>
      <c r="F244" t="n">
        <v>3</v>
      </c>
      <c r="G244" t="n">
        <v>23</v>
      </c>
      <c r="H244" t="n">
        <v>4</v>
      </c>
      <c r="I244" t="n">
        <v>4</v>
      </c>
      <c r="J244" t="inlineStr">
        <is>
          <t>Pink Amethyst</t>
        </is>
      </c>
      <c r="K244" t="inlineStr">
        <is>
          <t>pink-amethyst</t>
        </is>
      </c>
      <c r="L244" t="inlineStr">
        <is>
          <t>Pink Aventurine</t>
        </is>
      </c>
      <c r="M244" t="inlineStr">
        <is>
          <t>pink-aventurine</t>
        </is>
      </c>
      <c r="N244" t="b">
        <v>0</v>
      </c>
      <c r="O244" t="inlineStr">
        <is>
          <t>pink-aragonite</t>
        </is>
      </c>
      <c r="P244" t="inlineStr">
        <is>
          <t>Not Started</t>
        </is>
      </c>
      <c r="Q244" t="inlineStr">
        <is>
          <t>Heart</t>
        </is>
      </c>
      <c r="R244" t="inlineStr">
        <is>
          <t>Root</t>
        </is>
      </c>
      <c r="S244" t="inlineStr">
        <is>
          <t>Heart</t>
        </is>
      </c>
      <c r="X244" t="inlineStr">
        <is>
          <t>Mineral</t>
        </is>
      </c>
      <c r="Z244" s="3" t="inlineStr">
        <is>
          <t>Self-compassion</t>
        </is>
      </c>
      <c r="AA244" s="3" t="inlineStr">
        <is>
          <t>Use when you are being hard on yourself and need to respond to your feelings with patience rather than criticism.</t>
        </is>
      </c>
      <c r="AB244" s="3" t="n"/>
      <c r="AC244" t="inlineStr">
        <is>
          <t>Heart Healing</t>
        </is>
      </c>
      <c r="AD244" t="inlineStr">
        <is>
          <t>Self-Love</t>
        </is>
      </c>
      <c r="AE244" t="inlineStr">
        <is>
          <t>Emotional Balance</t>
        </is>
      </c>
      <c r="AF244" t="inlineStr">
        <is>
          <t>["Compassion","Love","Acceptance"]</t>
        </is>
      </c>
      <c r="AK244" t="b">
        <v>0</v>
      </c>
      <c r="AL244" t="inlineStr">
        <is>
          <t>Unreviewed</t>
        </is>
      </c>
      <c r="AM244" t="inlineStr">
        <is>
          <t>Not Started</t>
        </is>
      </c>
      <c r="AN244" t="inlineStr">
        <is>
          <t>Not Started</t>
        </is>
      </c>
      <c r="AO244" t="inlineStr">
        <is>
          <t>Not Started</t>
        </is>
      </c>
      <c r="AP244" t="inlineStr">
        <is>
          <t>Not Started</t>
        </is>
      </c>
      <c r="AR244" t="inlineStr">
        <is>
          <t>v0.3-2026-06-29</t>
        </is>
      </c>
      <c r="AT244" s="3" t="n"/>
    </row>
    <row r="245">
      <c r="A245" t="inlineStr">
        <is>
          <t>C-0334</t>
        </is>
      </c>
      <c r="B245" t="inlineStr">
        <is>
          <t>Pink Halite</t>
        </is>
      </c>
      <c r="C245" t="inlineStr">
        <is>
          <t>Pink Rock Salt</t>
        </is>
      </c>
      <c r="D245" t="inlineStr">
        <is>
          <t>Halite</t>
        </is>
      </c>
      <c r="E245" t="inlineStr">
        <is>
          <t>Halite</t>
        </is>
      </c>
      <c r="F245" t="n">
        <v>3</v>
      </c>
      <c r="G245" t="n">
        <v>24</v>
      </c>
      <c r="H245" t="n">
        <v>334</v>
      </c>
      <c r="I245" t="n">
        <v>334</v>
      </c>
      <c r="J245" t="inlineStr">
        <is>
          <t>Pink Fluorite</t>
        </is>
      </c>
      <c r="K245" t="inlineStr">
        <is>
          <t>pink-fluorite</t>
        </is>
      </c>
      <c r="L245" t="inlineStr">
        <is>
          <t>Pink Opal</t>
        </is>
      </c>
      <c r="M245" t="inlineStr">
        <is>
          <t>pink-opal</t>
        </is>
      </c>
      <c r="N245" t="b">
        <v>0</v>
      </c>
      <c r="O245" t="inlineStr">
        <is>
          <t>pink-halite</t>
        </is>
      </c>
      <c r="P245" t="inlineStr">
        <is>
          <t>Not Started</t>
        </is>
      </c>
      <c r="Q245" t="inlineStr">
        <is>
          <t>Heart</t>
        </is>
      </c>
      <c r="S245" t="inlineStr">
        <is>
          <t>Heart</t>
        </is>
      </c>
      <c r="X245" t="inlineStr">
        <is>
          <t>Mineral</t>
        </is>
      </c>
      <c r="Z245" s="3" t="inlineStr">
        <is>
          <t>Emotional release</t>
        </is>
      </c>
      <c r="AA245" s="3" t="inlineStr">
        <is>
          <t>Use when you are ready to loosen your grip on an old hurt but do not want to rush yourself into forgiveness or closure.</t>
        </is>
      </c>
      <c r="AB245" s="3" t="n"/>
      <c r="AC245" t="inlineStr">
        <is>
          <t>Self-Love</t>
        </is>
      </c>
      <c r="AD245" t="inlineStr">
        <is>
          <t>Protection</t>
        </is>
      </c>
      <c r="AF245" t="inlineStr">
        <is>
          <t>["Purification","Compassion","Release"]</t>
        </is>
      </c>
      <c r="AK245" t="b">
        <v>0</v>
      </c>
      <c r="AL245" t="inlineStr">
        <is>
          <t>Unreviewed</t>
        </is>
      </c>
      <c r="AM245" t="inlineStr">
        <is>
          <t>Not Started</t>
        </is>
      </c>
      <c r="AN245" t="inlineStr">
        <is>
          <t>Not Started</t>
        </is>
      </c>
      <c r="AO245" t="inlineStr">
        <is>
          <t>Not Started</t>
        </is>
      </c>
      <c r="AP245" t="inlineStr">
        <is>
          <t>Not Started</t>
        </is>
      </c>
      <c r="AR245" t="inlineStr">
        <is>
          <t>v0.3-2026-06-29</t>
        </is>
      </c>
      <c r="AT245" s="3" t="n"/>
    </row>
    <row r="246">
      <c r="A246" t="inlineStr">
        <is>
          <t>C-0085</t>
        </is>
      </c>
      <c r="B246" t="inlineStr">
        <is>
          <t>Purple Chalcedony</t>
        </is>
      </c>
      <c r="D246" t="inlineStr">
        <is>
          <t>Quartz</t>
        </is>
      </c>
      <c r="E246" t="inlineStr">
        <is>
          <t>Quartz</t>
        </is>
      </c>
      <c r="F246" t="n">
        <v>3</v>
      </c>
      <c r="G246" t="n">
        <v>24</v>
      </c>
      <c r="H246" t="n">
        <v>85</v>
      </c>
      <c r="I246" t="n">
        <v>85</v>
      </c>
      <c r="J246" t="inlineStr">
        <is>
          <t>Prophecy Stone</t>
        </is>
      </c>
      <c r="K246" t="inlineStr">
        <is>
          <t>prophecy-stone</t>
        </is>
      </c>
      <c r="L246" t="inlineStr">
        <is>
          <t>Purple Fluorite</t>
        </is>
      </c>
      <c r="M246" t="inlineStr">
        <is>
          <t>purple-fluorite</t>
        </is>
      </c>
      <c r="N246" t="b">
        <v>0</v>
      </c>
      <c r="O246" t="inlineStr">
        <is>
          <t>purple-chalcedony</t>
        </is>
      </c>
      <c r="P246" t="inlineStr">
        <is>
          <t>Not Started</t>
        </is>
      </c>
      <c r="Q246" t="inlineStr">
        <is>
          <t>Third Eye</t>
        </is>
      </c>
      <c r="R246" t="inlineStr">
        <is>
          <t>Crown</t>
        </is>
      </c>
      <c r="S246" t="inlineStr">
        <is>
          <t>Third Eye</t>
        </is>
      </c>
      <c r="X246" t="inlineStr">
        <is>
          <t>Mineral</t>
        </is>
      </c>
      <c r="Z246" s="3" t="inlineStr">
        <is>
          <t>Serene insight</t>
        </is>
      </c>
      <c r="AA246" s="3" t="inlineStr">
        <is>
          <t>Use when you sense something important beneath the surface but are struggling to understand or articulate it.</t>
        </is>
      </c>
      <c r="AB246" s="3" t="n"/>
      <c r="AC246" t="inlineStr">
        <is>
          <t>Spiritual Connection</t>
        </is>
      </c>
      <c r="AD246" t="inlineStr">
        <is>
          <t>Intuition</t>
        </is>
      </c>
      <c r="AE246" t="inlineStr">
        <is>
          <t>Calm &amp; Peace</t>
        </is>
      </c>
      <c r="AF246" t="inlineStr">
        <is>
          <t>["Intuition","Calm","Insight"]</t>
        </is>
      </c>
      <c r="AK246" t="b">
        <v>0</v>
      </c>
      <c r="AL246" t="inlineStr">
        <is>
          <t>Unreviewed</t>
        </is>
      </c>
      <c r="AM246" t="inlineStr">
        <is>
          <t>Not Started</t>
        </is>
      </c>
      <c r="AN246" t="inlineStr">
        <is>
          <t>Not Started</t>
        </is>
      </c>
      <c r="AO246" t="inlineStr">
        <is>
          <t>Not Started</t>
        </is>
      </c>
      <c r="AP246" t="inlineStr">
        <is>
          <t>Not Started</t>
        </is>
      </c>
      <c r="AR246" t="inlineStr">
        <is>
          <t>v0.3-2026-06-29</t>
        </is>
      </c>
      <c r="AT246" s="3" t="n"/>
    </row>
    <row r="247">
      <c r="A247" t="inlineStr">
        <is>
          <t>C-0212</t>
        </is>
      </c>
      <c r="B247" t="inlineStr">
        <is>
          <t>Purpurite</t>
        </is>
      </c>
      <c r="D247" t="inlineStr">
        <is>
          <t>Phosphates</t>
        </is>
      </c>
      <c r="E247" t="inlineStr">
        <is>
          <t>Purpurite</t>
        </is>
      </c>
      <c r="F247" t="n">
        <v>3</v>
      </c>
      <c r="G247" t="n">
        <v>24</v>
      </c>
      <c r="H247" t="n">
        <v>212</v>
      </c>
      <c r="I247" t="n">
        <v>212</v>
      </c>
      <c r="J247" t="inlineStr">
        <is>
          <t>Purple Fluorite</t>
        </is>
      </c>
      <c r="K247" t="inlineStr">
        <is>
          <t>purple-fluorite</t>
        </is>
      </c>
      <c r="L247" t="inlineStr">
        <is>
          <t>Pyrite</t>
        </is>
      </c>
      <c r="M247" t="inlineStr">
        <is>
          <t>pyrite</t>
        </is>
      </c>
      <c r="N247" t="b">
        <v>0</v>
      </c>
      <c r="O247" t="inlineStr">
        <is>
          <t>purpurite</t>
        </is>
      </c>
      <c r="P247" t="inlineStr">
        <is>
          <t>Not Started</t>
        </is>
      </c>
      <c r="Q247" t="inlineStr">
        <is>
          <t>Crown</t>
        </is>
      </c>
      <c r="R247" t="inlineStr">
        <is>
          <t>Third Eye</t>
        </is>
      </c>
      <c r="S247" t="inlineStr">
        <is>
          <t>Crown</t>
        </is>
      </c>
      <c r="X247" t="inlineStr">
        <is>
          <t>Mineral</t>
        </is>
      </c>
      <c r="Z247" s="3" t="inlineStr">
        <is>
          <t>Authentic freedom</t>
        </is>
      </c>
      <c r="AA247" s="3" t="inlineStr">
        <is>
          <t>Use when you feel confined by an identity, obligation, or expectation that no longer reflects who you are.</t>
        </is>
      </c>
      <c r="AB247" s="3" t="n"/>
      <c r="AC247" t="inlineStr">
        <is>
          <t>Clarity &amp; Focus</t>
        </is>
      </c>
      <c r="AD247" t="inlineStr">
        <is>
          <t>Confidence</t>
        </is>
      </c>
      <c r="AF247" t="inlineStr">
        <is>
          <t>["Freedom","Expression","Confidence"]</t>
        </is>
      </c>
      <c r="AK247" t="b">
        <v>0</v>
      </c>
      <c r="AL247" t="inlineStr">
        <is>
          <t>Unreviewed</t>
        </is>
      </c>
      <c r="AM247" t="inlineStr">
        <is>
          <t>Not Started</t>
        </is>
      </c>
      <c r="AN247" t="inlineStr">
        <is>
          <t>Not Started</t>
        </is>
      </c>
      <c r="AO247" t="inlineStr">
        <is>
          <t>Not Started</t>
        </is>
      </c>
      <c r="AP247" t="inlineStr">
        <is>
          <t>Not Started</t>
        </is>
      </c>
      <c r="AR247" t="inlineStr">
        <is>
          <t>v0.3-2026-06-29</t>
        </is>
      </c>
      <c r="AT247" s="3" t="n"/>
    </row>
    <row r="248">
      <c r="A248" t="inlineStr">
        <is>
          <t>C-0336</t>
        </is>
      </c>
      <c r="B248" t="inlineStr">
        <is>
          <t>Pyrope Garnet</t>
        </is>
      </c>
      <c r="D248" t="inlineStr">
        <is>
          <t>Garnet</t>
        </is>
      </c>
      <c r="E248" t="inlineStr">
        <is>
          <t>Pyrope</t>
        </is>
      </c>
      <c r="F248" t="n">
        <v>3</v>
      </c>
      <c r="G248" t="n">
        <v>24</v>
      </c>
      <c r="H248" t="n">
        <v>0</v>
      </c>
      <c r="I248" t="n">
        <v>0</v>
      </c>
      <c r="J248" t="inlineStr">
        <is>
          <t>Pyromorphite</t>
        </is>
      </c>
      <c r="K248" t="inlineStr">
        <is>
          <t>pyromorphite</t>
        </is>
      </c>
      <c r="L248" t="inlineStr">
        <is>
          <t>Quantum Quattro</t>
        </is>
      </c>
      <c r="M248" t="inlineStr">
        <is>
          <t>quantum-quattro</t>
        </is>
      </c>
      <c r="N248" t="b">
        <v>0</v>
      </c>
      <c r="O248" t="inlineStr">
        <is>
          <t>pyrope-garnet</t>
        </is>
      </c>
      <c r="P248" t="inlineStr">
        <is>
          <t>Not Started</t>
        </is>
      </c>
      <c r="Q248" t="inlineStr">
        <is>
          <t>Root</t>
        </is>
      </c>
      <c r="R248" t="inlineStr">
        <is>
          <t>Heart</t>
        </is>
      </c>
      <c r="S248" t="inlineStr">
        <is>
          <t>Root</t>
        </is>
      </c>
      <c r="X248" t="inlineStr">
        <is>
          <t>Mineral</t>
        </is>
      </c>
      <c r="Z248" s="3" t="inlineStr">
        <is>
          <t>Bold momentum</t>
        </is>
      </c>
      <c r="AA248" s="3" t="inlineStr">
        <is>
          <t>Use when you need to move through hesitation and act with confidence, energy, and clear personal conviction.</t>
        </is>
      </c>
      <c r="AB248" s="3" t="n"/>
      <c r="AC248" t="inlineStr">
        <is>
          <t>Confidence</t>
        </is>
      </c>
      <c r="AD248" t="inlineStr">
        <is>
          <t>Vitality</t>
        </is>
      </c>
      <c r="AF248" t="inlineStr">
        <is>
          <t>["Courage","Passion","Vitality"]</t>
        </is>
      </c>
      <c r="AK248" t="b">
        <v>0</v>
      </c>
      <c r="AL248" t="inlineStr">
        <is>
          <t>Unreviewed</t>
        </is>
      </c>
      <c r="AM248" t="inlineStr">
        <is>
          <t>Not Started</t>
        </is>
      </c>
      <c r="AN248" t="inlineStr">
        <is>
          <t>Not Started</t>
        </is>
      </c>
      <c r="AO248" t="inlineStr">
        <is>
          <t>Not Started</t>
        </is>
      </c>
      <c r="AP248" t="inlineStr">
        <is>
          <t>Not Started</t>
        </is>
      </c>
      <c r="AR248" t="inlineStr">
        <is>
          <t>v0.3-2026-06-29</t>
        </is>
      </c>
      <c r="AT248" s="3" t="n"/>
    </row>
    <row r="249">
      <c r="A249" t="inlineStr">
        <is>
          <t>C-0368</t>
        </is>
      </c>
      <c r="B249" t="inlineStr">
        <is>
          <t>Quantum Quattro</t>
        </is>
      </c>
      <c r="C249" t="inlineStr">
        <is>
          <t>Quantum Quattro Silica</t>
        </is>
      </c>
      <c r="D249" t="inlineStr">
        <is>
          <t>Copper Minerals</t>
        </is>
      </c>
      <c r="E249" t="inlineStr">
        <is>
          <t>Chrysocolla blend</t>
        </is>
      </c>
      <c r="F249" t="n">
        <v>3</v>
      </c>
      <c r="G249" t="n">
        <v>24</v>
      </c>
      <c r="H249" t="n">
        <v>0</v>
      </c>
      <c r="I249" t="n">
        <v>0</v>
      </c>
      <c r="J249" t="inlineStr">
        <is>
          <t>Pyrope Garnet</t>
        </is>
      </c>
      <c r="K249" t="inlineStr">
        <is>
          <t>pyrope-garnet</t>
        </is>
      </c>
      <c r="L249" t="inlineStr">
        <is>
          <t>Que Sera Stone</t>
        </is>
      </c>
      <c r="M249" t="inlineStr">
        <is>
          <t>que-sera-stone</t>
        </is>
      </c>
      <c r="N249" t="b">
        <v>0</v>
      </c>
      <c r="O249" t="inlineStr">
        <is>
          <t>quantum-quattro</t>
        </is>
      </c>
      <c r="P249" t="inlineStr">
        <is>
          <t>Not Started</t>
        </is>
      </c>
      <c r="Q249" t="inlineStr">
        <is>
          <t>Heart</t>
        </is>
      </c>
      <c r="R249" t="inlineStr">
        <is>
          <t>Throat</t>
        </is>
      </c>
      <c r="S249" t="inlineStr">
        <is>
          <t>Heart</t>
        </is>
      </c>
      <c r="X249" t="inlineStr">
        <is>
          <t>Mineral aggregate</t>
        </is>
      </c>
      <c r="Z249" s="3" t="inlineStr">
        <is>
          <t>Layered healing</t>
        </is>
      </c>
      <c r="AA249" s="3" t="inlineStr">
        <is>
          <t>Use when a problem has emotional, practical, and relational layers that cannot be addressed with one simple solution.</t>
        </is>
      </c>
      <c r="AB249" s="3" t="n"/>
      <c r="AC249" t="inlineStr">
        <is>
          <t>Emotional Balance</t>
        </is>
      </c>
      <c r="AD249" t="inlineStr">
        <is>
          <t>Communication</t>
        </is>
      </c>
      <c r="AE249" t="inlineStr">
        <is>
          <t>Heart Healing</t>
        </is>
      </c>
      <c r="AF249" t="inlineStr">
        <is>
          <t>["Healing","Integration","Communication"]</t>
        </is>
      </c>
      <c r="AK249" t="b">
        <v>0</v>
      </c>
      <c r="AL249" t="inlineStr">
        <is>
          <t>Unreviewed</t>
        </is>
      </c>
      <c r="AM249" t="inlineStr">
        <is>
          <t>Not Started</t>
        </is>
      </c>
      <c r="AN249" t="inlineStr">
        <is>
          <t>Not Started</t>
        </is>
      </c>
      <c r="AO249" t="inlineStr">
        <is>
          <t>Not Started</t>
        </is>
      </c>
      <c r="AP249" t="inlineStr">
        <is>
          <t>Not Started</t>
        </is>
      </c>
      <c r="AR249" t="inlineStr">
        <is>
          <t>v0.3-2026-06-29</t>
        </is>
      </c>
      <c r="AT249" s="3" t="n"/>
    </row>
    <row r="250">
      <c r="A250" t="inlineStr">
        <is>
          <t>C-0189</t>
        </is>
      </c>
      <c r="B250" t="inlineStr">
        <is>
          <t>Que Sera Stone</t>
        </is>
      </c>
      <c r="C250" t="inlineStr">
        <is>
          <t>Llanite, Galaxy Rhyolite</t>
        </is>
      </c>
      <c r="D250" t="inlineStr">
        <is>
          <t>Aggregate</t>
        </is>
      </c>
      <c r="E250" t="inlineStr">
        <is>
          <t>Quartz; Microcline; Biotite</t>
        </is>
      </c>
      <c r="F250" t="n">
        <v>3</v>
      </c>
      <c r="G250" t="n">
        <v>24</v>
      </c>
      <c r="H250" t="n">
        <v>189</v>
      </c>
      <c r="I250" t="n">
        <v>189</v>
      </c>
      <c r="J250" t="inlineStr">
        <is>
          <t>Quantum Quattro</t>
        </is>
      </c>
      <c r="K250" t="inlineStr">
        <is>
          <t>quantum-quattro</t>
        </is>
      </c>
      <c r="L250" t="inlineStr">
        <is>
          <t>Rainbow Fluorite</t>
        </is>
      </c>
      <c r="M250" t="inlineStr">
        <is>
          <t>rainbow-fluorite</t>
        </is>
      </c>
      <c r="N250" t="b">
        <v>0</v>
      </c>
      <c r="O250" t="inlineStr">
        <is>
          <t>que-sera-stone</t>
        </is>
      </c>
      <c r="P250" t="inlineStr">
        <is>
          <t>Not Started</t>
        </is>
      </c>
      <c r="Q250" t="inlineStr">
        <is>
          <t>Third Eye</t>
        </is>
      </c>
      <c r="R250" t="inlineStr">
        <is>
          <t>Crown</t>
        </is>
      </c>
      <c r="S250" t="inlineStr">
        <is>
          <t>Third Eye</t>
        </is>
      </c>
      <c r="X250" t="inlineStr">
        <is>
          <t>Composite</t>
        </is>
      </c>
      <c r="Z250" s="3" t="inlineStr">
        <is>
          <t>Balanced adaptation</t>
        </is>
      </c>
      <c r="AA250" s="3" t="inlineStr">
        <is>
          <t>Use when several parts of your life are shifting at once and you need to remain flexible without losing your center.</t>
        </is>
      </c>
      <c r="AB250" s="3" t="n"/>
      <c r="AC250" t="inlineStr">
        <is>
          <t>Spiritual Connection</t>
        </is>
      </c>
      <c r="AD250" t="inlineStr">
        <is>
          <t>Grounding</t>
        </is>
      </c>
      <c r="AF250" t="inlineStr">
        <is>
          <t>["Balance","Adaptability","Integration"]</t>
        </is>
      </c>
      <c r="AJ250" t="inlineStr">
        <is>
          <t>Composite</t>
        </is>
      </c>
      <c r="AK250" t="b">
        <v>1</v>
      </c>
      <c r="AL250" t="inlineStr">
        <is>
          <t>Unreviewed</t>
        </is>
      </c>
      <c r="AM250" t="inlineStr">
        <is>
          <t>Not Started</t>
        </is>
      </c>
      <c r="AN250" t="inlineStr">
        <is>
          <t>Not Started</t>
        </is>
      </c>
      <c r="AO250" t="inlineStr">
        <is>
          <t>Not Started</t>
        </is>
      </c>
      <c r="AP250" t="inlineStr">
        <is>
          <t>Not Started</t>
        </is>
      </c>
      <c r="AR250" t="inlineStr">
        <is>
          <t>v0.3-2026-06-29</t>
        </is>
      </c>
      <c r="AT250" s="3" t="n"/>
    </row>
    <row r="251">
      <c r="A251" t="inlineStr">
        <is>
          <t>C-0339</t>
        </is>
      </c>
      <c r="B251" t="inlineStr">
        <is>
          <t>Rutile</t>
        </is>
      </c>
      <c r="D251" t="inlineStr">
        <is>
          <t>Oxides</t>
        </is>
      </c>
      <c r="E251" t="inlineStr">
        <is>
          <t>Rutile</t>
        </is>
      </c>
      <c r="F251" t="n">
        <v>3</v>
      </c>
      <c r="G251" t="n">
        <v>24</v>
      </c>
      <c r="H251" t="n">
        <v>0</v>
      </c>
      <c r="I251" t="n">
        <v>0</v>
      </c>
      <c r="J251" t="inlineStr">
        <is>
          <t>Rutilated Quartz</t>
        </is>
      </c>
      <c r="K251" t="inlineStr">
        <is>
          <t>rutilated-quartz</t>
        </is>
      </c>
      <c r="L251" t="inlineStr">
        <is>
          <t>Sapphire</t>
        </is>
      </c>
      <c r="M251" t="inlineStr">
        <is>
          <t>sapphire</t>
        </is>
      </c>
      <c r="N251" t="b">
        <v>0</v>
      </c>
      <c r="O251" t="inlineStr">
        <is>
          <t>rutile</t>
        </is>
      </c>
      <c r="P251" t="inlineStr">
        <is>
          <t>Not Started</t>
        </is>
      </c>
      <c r="Q251" t="inlineStr">
        <is>
          <t>Crown</t>
        </is>
      </c>
      <c r="R251" t="inlineStr">
        <is>
          <t>Solar Plexus</t>
        </is>
      </c>
      <c r="S251" t="inlineStr">
        <is>
          <t>Crown</t>
        </is>
      </c>
      <c r="X251" t="inlineStr">
        <is>
          <t>Mineral</t>
        </is>
      </c>
      <c r="Z251" s="3" t="inlineStr">
        <is>
          <t>Direct clarity</t>
        </is>
      </c>
      <c r="AA251" s="3" t="inlineStr">
        <is>
          <t>Use when unnecessary details are obscuring the decision, conversation, or task that actually needs your attention.</t>
        </is>
      </c>
      <c r="AB251" s="3" t="n"/>
      <c r="AC251" t="inlineStr">
        <is>
          <t>Amplification</t>
        </is>
      </c>
      <c r="AD251" t="inlineStr">
        <is>
          <t>Vitality</t>
        </is>
      </c>
      <c r="AF251" t="inlineStr">
        <is>
          <t>["Clarity","Focus","Amplification"]</t>
        </is>
      </c>
      <c r="AK251" t="b">
        <v>0</v>
      </c>
      <c r="AL251" t="inlineStr">
        <is>
          <t>Unreviewed</t>
        </is>
      </c>
      <c r="AM251" t="inlineStr">
        <is>
          <t>Not Started</t>
        </is>
      </c>
      <c r="AN251" t="inlineStr">
        <is>
          <t>Not Started</t>
        </is>
      </c>
      <c r="AO251" t="inlineStr">
        <is>
          <t>Not Started</t>
        </is>
      </c>
      <c r="AP251" t="inlineStr">
        <is>
          <t>Not Started</t>
        </is>
      </c>
      <c r="AR251" t="inlineStr">
        <is>
          <t>v0.3-2026-06-29</t>
        </is>
      </c>
      <c r="AT251" s="3" t="n"/>
    </row>
    <row r="252">
      <c r="A252" t="inlineStr">
        <is>
          <t>C-0340</t>
        </is>
      </c>
      <c r="B252" t="inlineStr">
        <is>
          <t>Scapolite</t>
        </is>
      </c>
      <c r="C252" t="inlineStr">
        <is>
          <t>Wernerite</t>
        </is>
      </c>
      <c r="D252" t="inlineStr">
        <is>
          <t>Silicates</t>
        </is>
      </c>
      <c r="E252" t="inlineStr">
        <is>
          <t>Scapolite</t>
        </is>
      </c>
      <c r="F252" t="n">
        <v>3</v>
      </c>
      <c r="G252" t="n">
        <v>25</v>
      </c>
      <c r="H252" t="n">
        <v>0</v>
      </c>
      <c r="I252" t="n">
        <v>0</v>
      </c>
      <c r="J252" t="inlineStr">
        <is>
          <t>Sapphire</t>
        </is>
      </c>
      <c r="K252" t="inlineStr">
        <is>
          <t>sapphire</t>
        </is>
      </c>
      <c r="L252" t="inlineStr">
        <is>
          <t>Scheelite</t>
        </is>
      </c>
      <c r="M252" t="inlineStr">
        <is>
          <t>scheelite</t>
        </is>
      </c>
      <c r="N252" t="b">
        <v>0</v>
      </c>
      <c r="O252" t="inlineStr">
        <is>
          <t>scapolite</t>
        </is>
      </c>
      <c r="P252" t="inlineStr">
        <is>
          <t>Not Started</t>
        </is>
      </c>
      <c r="Q252" t="inlineStr">
        <is>
          <t>Solar Plexus</t>
        </is>
      </c>
      <c r="R252" t="inlineStr">
        <is>
          <t>Crown</t>
        </is>
      </c>
      <c r="S252" t="inlineStr">
        <is>
          <t>Solar Plexus</t>
        </is>
      </c>
      <c r="X252" t="inlineStr">
        <is>
          <t>Mineral</t>
        </is>
      </c>
      <c r="Z252" s="3" t="inlineStr">
        <is>
          <t>Sustained purpose</t>
        </is>
      </c>
      <c r="AA252" s="3" t="inlineStr">
        <is>
          <t>Use when motivation is fading and you need to reconnect with why a long-term effort still matters.</t>
        </is>
      </c>
      <c r="AB252" s="3" t="n"/>
      <c r="AC252" t="inlineStr">
        <is>
          <t>Clarity &amp; Focus</t>
        </is>
      </c>
      <c r="AD252" t="inlineStr">
        <is>
          <t>Confidence</t>
        </is>
      </c>
      <c r="AF252" t="inlineStr">
        <is>
          <t>["Purpose","Discipline","Focus"]</t>
        </is>
      </c>
      <c r="AK252" t="b">
        <v>0</v>
      </c>
      <c r="AL252" t="inlineStr">
        <is>
          <t>Unreviewed</t>
        </is>
      </c>
      <c r="AM252" t="inlineStr">
        <is>
          <t>Not Started</t>
        </is>
      </c>
      <c r="AN252" t="inlineStr">
        <is>
          <t>Not Started</t>
        </is>
      </c>
      <c r="AO252" t="inlineStr">
        <is>
          <t>Not Started</t>
        </is>
      </c>
      <c r="AP252" t="inlineStr">
        <is>
          <t>Not Started</t>
        </is>
      </c>
      <c r="AR252" t="inlineStr">
        <is>
          <t>v0.3-2026-06-29</t>
        </is>
      </c>
      <c r="AT252" s="3" t="n"/>
    </row>
    <row r="253">
      <c r="A253" t="inlineStr">
        <is>
          <t>C-0199</t>
        </is>
      </c>
      <c r="B253" t="inlineStr">
        <is>
          <t>Shaman Stone</t>
        </is>
      </c>
      <c r="C253" t="inlineStr">
        <is>
          <t>Moqui Marble</t>
        </is>
      </c>
      <c r="D253" t="inlineStr">
        <is>
          <t>Oxides</t>
        </is>
      </c>
      <c r="E253" t="inlineStr">
        <is>
          <t>Hematite; Goethite; Sandstone</t>
        </is>
      </c>
      <c r="F253" t="n">
        <v>3</v>
      </c>
      <c r="G253" t="n">
        <v>25</v>
      </c>
      <c r="H253" t="n">
        <v>199</v>
      </c>
      <c r="I253" t="n">
        <v>199</v>
      </c>
      <c r="J253" t="inlineStr">
        <is>
          <t>Serpentine</t>
        </is>
      </c>
      <c r="K253" t="inlineStr">
        <is>
          <t>serpentine</t>
        </is>
      </c>
      <c r="L253" t="inlineStr">
        <is>
          <t>Shattuckite</t>
        </is>
      </c>
      <c r="M253" t="inlineStr">
        <is>
          <t>shattuckite</t>
        </is>
      </c>
      <c r="N253" t="b">
        <v>0</v>
      </c>
      <c r="O253" t="inlineStr">
        <is>
          <t>shaman-stone</t>
        </is>
      </c>
      <c r="P253" t="inlineStr">
        <is>
          <t>Not Started</t>
        </is>
      </c>
      <c r="Q253" t="inlineStr">
        <is>
          <t>Root</t>
        </is>
      </c>
      <c r="R253" t="inlineStr">
        <is>
          <t>Earth Star</t>
        </is>
      </c>
      <c r="S253" t="inlineStr">
        <is>
          <t>Root</t>
        </is>
      </c>
      <c r="X253" t="inlineStr">
        <is>
          <t>Composite</t>
        </is>
      </c>
      <c r="Z253" s="3" t="inlineStr">
        <is>
          <t>Whole-person balance</t>
        </is>
      </c>
      <c r="AA253" s="3" t="inlineStr">
        <is>
          <t>Use when your practical obligations and inner needs feel divided and you need a way to honor both.</t>
        </is>
      </c>
      <c r="AB253" s="3" t="n"/>
      <c r="AC253" t="inlineStr">
        <is>
          <t>Protection</t>
        </is>
      </c>
      <c r="AD253" t="inlineStr">
        <is>
          <t>Grounding</t>
        </is>
      </c>
      <c r="AE253" t="inlineStr">
        <is>
          <t>Spiritual Connection</t>
        </is>
      </c>
      <c r="AF253" t="inlineStr">
        <is>
          <t>["Balance","Grounding","Integration"]</t>
        </is>
      </c>
      <c r="AJ253" t="inlineStr">
        <is>
          <t>Composite</t>
        </is>
      </c>
      <c r="AK253" t="b">
        <v>1</v>
      </c>
      <c r="AL253" t="inlineStr">
        <is>
          <t>Unreviewed</t>
        </is>
      </c>
      <c r="AM253" t="inlineStr">
        <is>
          <t>Not Started</t>
        </is>
      </c>
      <c r="AN253" t="inlineStr">
        <is>
          <t>Not Started</t>
        </is>
      </c>
      <c r="AO253" t="inlineStr">
        <is>
          <t>Not Started</t>
        </is>
      </c>
      <c r="AP253" t="inlineStr">
        <is>
          <t>Not Started</t>
        </is>
      </c>
      <c r="AR253" t="inlineStr">
        <is>
          <t>v0.3-2026-06-29</t>
        </is>
      </c>
      <c r="AT253" s="3" t="n"/>
    </row>
    <row r="254">
      <c r="A254" t="inlineStr">
        <is>
          <t>C-0130</t>
        </is>
      </c>
      <c r="B254" t="inlineStr">
        <is>
          <t>Shattuckite</t>
        </is>
      </c>
      <c r="D254" t="inlineStr">
        <is>
          <t>Copper Minerals</t>
        </is>
      </c>
      <c r="E254" t="inlineStr">
        <is>
          <t>Shattuckite</t>
        </is>
      </c>
      <c r="F254" t="n">
        <v>3</v>
      </c>
      <c r="G254" t="n">
        <v>25</v>
      </c>
      <c r="H254" t="n">
        <v>130</v>
      </c>
      <c r="I254" t="n">
        <v>130</v>
      </c>
      <c r="J254" t="inlineStr">
        <is>
          <t>Shaman Stone</t>
        </is>
      </c>
      <c r="K254" t="inlineStr">
        <is>
          <t>shaman-stone</t>
        </is>
      </c>
      <c r="L254" t="inlineStr">
        <is>
          <t>Shiva Lingam</t>
        </is>
      </c>
      <c r="M254" t="inlineStr">
        <is>
          <t>shiva-lingam</t>
        </is>
      </c>
      <c r="N254" t="b">
        <v>0</v>
      </c>
      <c r="O254" t="inlineStr">
        <is>
          <t>shattuckite</t>
        </is>
      </c>
      <c r="P254" t="inlineStr">
        <is>
          <t>Not Started</t>
        </is>
      </c>
      <c r="Q254" t="inlineStr">
        <is>
          <t>Throat</t>
        </is>
      </c>
      <c r="R254" t="inlineStr">
        <is>
          <t>Third Eye</t>
        </is>
      </c>
      <c r="S254" t="inlineStr">
        <is>
          <t>Throat</t>
        </is>
      </c>
      <c r="X254" t="inlineStr">
        <is>
          <t>Mineral</t>
        </is>
      </c>
      <c r="Z254" s="3" t="inlineStr">
        <is>
          <t>Intuitive communication</t>
        </is>
      </c>
      <c r="AA254" s="3" t="inlineStr">
        <is>
          <t>Use when you understand something internally but need help translating it into language another person can receive.</t>
        </is>
      </c>
      <c r="AB254" s="3" t="n"/>
      <c r="AC254" t="inlineStr">
        <is>
          <t>Communication</t>
        </is>
      </c>
      <c r="AD254" t="inlineStr">
        <is>
          <t>Spiritual Connection</t>
        </is>
      </c>
      <c r="AE254" t="inlineStr">
        <is>
          <t>Intuition</t>
        </is>
      </c>
      <c r="AF254" t="inlineStr">
        <is>
          <t>["Communication","Intuition","Truth"]</t>
        </is>
      </c>
      <c r="AK254" t="b">
        <v>0</v>
      </c>
      <c r="AL254" t="inlineStr">
        <is>
          <t>Unreviewed</t>
        </is>
      </c>
      <c r="AM254" t="inlineStr">
        <is>
          <t>Not Started</t>
        </is>
      </c>
      <c r="AN254" t="inlineStr">
        <is>
          <t>Not Started</t>
        </is>
      </c>
      <c r="AO254" t="inlineStr">
        <is>
          <t>Not Started</t>
        </is>
      </c>
      <c r="AP254" t="inlineStr">
        <is>
          <t>Not Started</t>
        </is>
      </c>
      <c r="AR254" t="inlineStr">
        <is>
          <t>v0.3-2026-06-29</t>
        </is>
      </c>
      <c r="AT254" s="3" t="n"/>
    </row>
    <row r="255">
      <c r="A255" t="inlineStr">
        <is>
          <t>C-0217</t>
        </is>
      </c>
      <c r="B255" t="inlineStr">
        <is>
          <t>Smithsonite</t>
        </is>
      </c>
      <c r="D255" t="inlineStr">
        <is>
          <t>Carbonates</t>
        </is>
      </c>
      <c r="E255" t="inlineStr">
        <is>
          <t>Smithsonite</t>
        </is>
      </c>
      <c r="F255" t="n">
        <v>3</v>
      </c>
      <c r="G255" t="n">
        <v>25</v>
      </c>
      <c r="H255" t="n">
        <v>217</v>
      </c>
      <c r="I255" t="n">
        <v>217</v>
      </c>
      <c r="J255" t="inlineStr">
        <is>
          <t>Silver Sheen Obsidian</t>
        </is>
      </c>
      <c r="K255" t="inlineStr">
        <is>
          <t>silver-sheen-obsidian</t>
        </is>
      </c>
      <c r="L255" t="inlineStr">
        <is>
          <t>Smoky Citrine</t>
        </is>
      </c>
      <c r="M255" t="inlineStr">
        <is>
          <t>smoky-citrine</t>
        </is>
      </c>
      <c r="N255" t="b">
        <v>0</v>
      </c>
      <c r="O255" t="inlineStr">
        <is>
          <t>smithsonite</t>
        </is>
      </c>
      <c r="P255" t="inlineStr">
        <is>
          <t>Not Started</t>
        </is>
      </c>
      <c r="Q255" t="inlineStr">
        <is>
          <t>Heart</t>
        </is>
      </c>
      <c r="R255" t="inlineStr">
        <is>
          <t>Throat</t>
        </is>
      </c>
      <c r="S255" t="inlineStr">
        <is>
          <t>Heart</t>
        </is>
      </c>
      <c r="X255" t="inlineStr">
        <is>
          <t>Mineral</t>
        </is>
      </c>
      <c r="Z255" s="3" t="inlineStr">
        <is>
          <t>Emotional gentleness</t>
        </is>
      </c>
      <c r="AA255" s="3" t="inlineStr">
        <is>
          <t>Use when you feel emotionally raw and need support that soothes rather than pushes you toward immediate resolution.</t>
        </is>
      </c>
      <c r="AB255" s="3" t="n"/>
      <c r="AC255" t="inlineStr">
        <is>
          <t>Grounding</t>
        </is>
      </c>
      <c r="AD255" t="inlineStr">
        <is>
          <t>Calm &amp; Peace</t>
        </is>
      </c>
      <c r="AF255" t="inlineStr">
        <is>
          <t>["Calm","Stability","Compassion"]</t>
        </is>
      </c>
      <c r="AK255" t="b">
        <v>0</v>
      </c>
      <c r="AL255" t="inlineStr">
        <is>
          <t>Unreviewed</t>
        </is>
      </c>
      <c r="AM255" t="inlineStr">
        <is>
          <t>Not Started</t>
        </is>
      </c>
      <c r="AN255" t="inlineStr">
        <is>
          <t>Not Started</t>
        </is>
      </c>
      <c r="AO255" t="inlineStr">
        <is>
          <t>Not Started</t>
        </is>
      </c>
      <c r="AP255" t="inlineStr">
        <is>
          <t>Not Started</t>
        </is>
      </c>
      <c r="AR255" t="inlineStr">
        <is>
          <t>v0.3-2026-06-29</t>
        </is>
      </c>
      <c r="AT255" s="3" t="n"/>
    </row>
    <row r="256">
      <c r="A256" t="inlineStr">
        <is>
          <t>C-0128</t>
        </is>
      </c>
      <c r="B256" t="inlineStr">
        <is>
          <t>Smoky Citrine</t>
        </is>
      </c>
      <c r="D256" t="inlineStr">
        <is>
          <t>Quartz</t>
        </is>
      </c>
      <c r="E256" t="inlineStr">
        <is>
          <t>Quartz</t>
        </is>
      </c>
      <c r="F256" t="n">
        <v>3</v>
      </c>
      <c r="G256" t="n">
        <v>25</v>
      </c>
      <c r="H256" t="n">
        <v>128</v>
      </c>
      <c r="I256" t="n">
        <v>128</v>
      </c>
      <c r="J256" t="inlineStr">
        <is>
          <t>Smithsonite</t>
        </is>
      </c>
      <c r="K256" t="inlineStr">
        <is>
          <t>smithsonite</t>
        </is>
      </c>
      <c r="L256" t="inlineStr">
        <is>
          <t>Smoky Quartz</t>
        </is>
      </c>
      <c r="M256" t="inlineStr">
        <is>
          <t>smoky-quartz</t>
        </is>
      </c>
      <c r="N256" t="b">
        <v>0</v>
      </c>
      <c r="O256" t="inlineStr">
        <is>
          <t>smoky-citrine</t>
        </is>
      </c>
      <c r="P256" t="inlineStr">
        <is>
          <t>Not Started</t>
        </is>
      </c>
      <c r="Q256" t="inlineStr">
        <is>
          <t>Solar Plexus</t>
        </is>
      </c>
      <c r="R256" t="inlineStr">
        <is>
          <t>Root</t>
        </is>
      </c>
      <c r="S256" t="inlineStr">
        <is>
          <t>Solar Plexus</t>
        </is>
      </c>
      <c r="X256" t="inlineStr">
        <is>
          <t>Mineral</t>
        </is>
      </c>
      <c r="Z256" s="3" t="inlineStr">
        <is>
          <t>Grounded ambition</t>
        </is>
      </c>
      <c r="AA256" s="3" t="inlineStr">
        <is>
          <t>Use when you want to move toward an opportunity while remaining realistic about the effort, timing, and risks involved.</t>
        </is>
      </c>
      <c r="AB256" s="3" t="n"/>
      <c r="AC256" t="inlineStr">
        <is>
          <t>Grounding</t>
        </is>
      </c>
      <c r="AD256" t="inlineStr">
        <is>
          <t>Joy</t>
        </is>
      </c>
      <c r="AF256" t="inlineStr">
        <is>
          <t>["Abundance","Grounding","Confidence"]</t>
        </is>
      </c>
      <c r="AK256" t="b">
        <v>0</v>
      </c>
      <c r="AL256" t="inlineStr">
        <is>
          <t>Unreviewed</t>
        </is>
      </c>
      <c r="AM256" t="inlineStr">
        <is>
          <t>Not Started</t>
        </is>
      </c>
      <c r="AN256" t="inlineStr">
        <is>
          <t>Not Started</t>
        </is>
      </c>
      <c r="AO256" t="inlineStr">
        <is>
          <t>Not Started</t>
        </is>
      </c>
      <c r="AP256" t="inlineStr">
        <is>
          <t>Not Started</t>
        </is>
      </c>
      <c r="AR256" t="inlineStr">
        <is>
          <t>v0.3-2026-06-29</t>
        </is>
      </c>
      <c r="AT256" s="3" t="n"/>
    </row>
    <row r="257">
      <c r="A257" t="inlineStr">
        <is>
          <t>C-0166</t>
        </is>
      </c>
      <c r="B257" t="inlineStr">
        <is>
          <t>Spectrolite</t>
        </is>
      </c>
      <c r="D257" t="inlineStr">
        <is>
          <t>Silicates</t>
        </is>
      </c>
      <c r="E257" t="inlineStr">
        <is>
          <t>Labradorite</t>
        </is>
      </c>
      <c r="F257" t="n">
        <v>3</v>
      </c>
      <c r="G257" t="n">
        <v>25</v>
      </c>
      <c r="H257" t="n">
        <v>166</v>
      </c>
      <c r="I257" t="n">
        <v>166</v>
      </c>
      <c r="J257" t="inlineStr">
        <is>
          <t>Sodalite</t>
        </is>
      </c>
      <c r="K257" t="inlineStr">
        <is>
          <t>sodalite</t>
        </is>
      </c>
      <c r="L257" t="inlineStr">
        <is>
          <t>Spessartine Garnet</t>
        </is>
      </c>
      <c r="M257" t="inlineStr">
        <is>
          <t>spessartine-garnet</t>
        </is>
      </c>
      <c r="N257" t="b">
        <v>0</v>
      </c>
      <c r="O257" t="inlineStr">
        <is>
          <t>spectrolite</t>
        </is>
      </c>
      <c r="P257" t="inlineStr">
        <is>
          <t>Not Started</t>
        </is>
      </c>
      <c r="Q257" t="inlineStr">
        <is>
          <t>Third Eye</t>
        </is>
      </c>
      <c r="R257" t="inlineStr">
        <is>
          <t>Crown</t>
        </is>
      </c>
      <c r="S257" t="inlineStr">
        <is>
          <t>Third Eye</t>
        </is>
      </c>
      <c r="X257" t="inlineStr">
        <is>
          <t>Mineral</t>
        </is>
      </c>
      <c r="Z257" s="3" t="inlineStr">
        <is>
          <t>Transformational vision</t>
        </is>
      </c>
      <c r="AA257" s="3" t="inlineStr">
        <is>
          <t>Use when a major change has disrupted your sense of direction and you need to notice what new possibilities are emerging.</t>
        </is>
      </c>
      <c r="AB257" s="3" t="n"/>
      <c r="AC257" t="inlineStr">
        <is>
          <t>Protection</t>
        </is>
      </c>
      <c r="AD257" t="inlineStr">
        <is>
          <t>Intuition</t>
        </is>
      </c>
      <c r="AF257" t="inlineStr">
        <is>
          <t>["Transformation","Intuition","Protection"]</t>
        </is>
      </c>
      <c r="AK257" t="b">
        <v>0</v>
      </c>
      <c r="AL257" t="inlineStr">
        <is>
          <t>Unreviewed</t>
        </is>
      </c>
      <c r="AM257" t="inlineStr">
        <is>
          <t>Not Started</t>
        </is>
      </c>
      <c r="AN257" t="inlineStr">
        <is>
          <t>Not Started</t>
        </is>
      </c>
      <c r="AO257" t="inlineStr">
        <is>
          <t>Not Started</t>
        </is>
      </c>
      <c r="AP257" t="inlineStr">
        <is>
          <t>Not Started</t>
        </is>
      </c>
      <c r="AR257" t="inlineStr">
        <is>
          <t>v0.3-2026-06-29</t>
        </is>
      </c>
      <c r="AT257" s="3" t="n"/>
    </row>
    <row r="258">
      <c r="A258" t="inlineStr">
        <is>
          <t>C-0131</t>
        </is>
      </c>
      <c r="B258" t="inlineStr">
        <is>
          <t>Spessartine Garnet</t>
        </is>
      </c>
      <c r="C258" t="inlineStr">
        <is>
          <t>Spessartite; Orange Garnet</t>
        </is>
      </c>
      <c r="D258" t="inlineStr">
        <is>
          <t>Garnet</t>
        </is>
      </c>
      <c r="E258" t="inlineStr">
        <is>
          <t>Spessartine</t>
        </is>
      </c>
      <c r="F258" t="n">
        <v>3</v>
      </c>
      <c r="G258" t="n">
        <v>25</v>
      </c>
      <c r="H258" t="n">
        <v>131</v>
      </c>
      <c r="I258" t="n">
        <v>131</v>
      </c>
      <c r="J258" t="inlineStr">
        <is>
          <t>Spectrolite</t>
        </is>
      </c>
      <c r="K258" t="inlineStr">
        <is>
          <t>spectrolite</t>
        </is>
      </c>
      <c r="L258" t="inlineStr">
        <is>
          <t>Sphalerite</t>
        </is>
      </c>
      <c r="M258" t="inlineStr">
        <is>
          <t>sphalerite</t>
        </is>
      </c>
      <c r="N258" t="b">
        <v>0</v>
      </c>
      <c r="O258" t="inlineStr">
        <is>
          <t>spessartine-garnet</t>
        </is>
      </c>
      <c r="P258" t="inlineStr">
        <is>
          <t>Not Started</t>
        </is>
      </c>
      <c r="Q258" t="inlineStr">
        <is>
          <t>Sacral</t>
        </is>
      </c>
      <c r="R258" t="inlineStr">
        <is>
          <t>Solar Plexus</t>
        </is>
      </c>
      <c r="S258" t="inlineStr">
        <is>
          <t>Sacral</t>
        </is>
      </c>
      <c r="X258" t="inlineStr">
        <is>
          <t>Mineral</t>
        </is>
      </c>
      <c r="Z258" s="3" t="inlineStr">
        <is>
          <t>Creative confidence</t>
        </is>
      </c>
      <c r="AA258" s="3" t="inlineStr">
        <is>
          <t>Use when you want to share an idea, talent, or desire without shrinking yourself to avoid attention.</t>
        </is>
      </c>
      <c r="AB258" s="3" t="n"/>
      <c r="AC258" t="inlineStr">
        <is>
          <t>Confidence</t>
        </is>
      </c>
      <c r="AD258" t="inlineStr">
        <is>
          <t>Vitality</t>
        </is>
      </c>
      <c r="AF258" t="inlineStr">
        <is>
          <t>["Creativity","Confidence","Joy"]</t>
        </is>
      </c>
      <c r="AK258" t="b">
        <v>0</v>
      </c>
      <c r="AL258" t="inlineStr">
        <is>
          <t>Unreviewed</t>
        </is>
      </c>
      <c r="AM258" t="inlineStr">
        <is>
          <t>Not Started</t>
        </is>
      </c>
      <c r="AN258" t="inlineStr">
        <is>
          <t>Not Started</t>
        </is>
      </c>
      <c r="AO258" t="inlineStr">
        <is>
          <t>Not Started</t>
        </is>
      </c>
      <c r="AP258" t="inlineStr">
        <is>
          <t>Not Started</t>
        </is>
      </c>
      <c r="AR258" t="inlineStr">
        <is>
          <t>v0.3-2026-06-29</t>
        </is>
      </c>
      <c r="AT258" s="3" t="n"/>
    </row>
    <row r="259">
      <c r="A259" t="inlineStr">
        <is>
          <t>C-0342</t>
        </is>
      </c>
      <c r="B259" t="inlineStr">
        <is>
          <t>Sphalerite</t>
        </is>
      </c>
      <c r="C259" t="inlineStr">
        <is>
          <t>Zinc Blende</t>
        </is>
      </c>
      <c r="D259" t="inlineStr">
        <is>
          <t>Sulfides</t>
        </is>
      </c>
      <c r="E259" t="inlineStr">
        <is>
          <t>Sphalerite</t>
        </is>
      </c>
      <c r="F259" t="n">
        <v>3</v>
      </c>
      <c r="G259" t="n">
        <v>25</v>
      </c>
      <c r="H259" t="n">
        <v>342</v>
      </c>
      <c r="I259" t="n">
        <v>342</v>
      </c>
      <c r="J259" t="inlineStr">
        <is>
          <t>Spessartine Garnet</t>
        </is>
      </c>
      <c r="K259" t="inlineStr">
        <is>
          <t>spessartine-garnet</t>
        </is>
      </c>
      <c r="L259" t="inlineStr">
        <is>
          <t>Sphene</t>
        </is>
      </c>
      <c r="M259" t="inlineStr">
        <is>
          <t>sphene</t>
        </is>
      </c>
      <c r="N259" t="b">
        <v>0</v>
      </c>
      <c r="O259" t="inlineStr">
        <is>
          <t>sphalerite</t>
        </is>
      </c>
      <c r="P259" t="inlineStr">
        <is>
          <t>Not Started</t>
        </is>
      </c>
      <c r="Q259" t="inlineStr">
        <is>
          <t>Root</t>
        </is>
      </c>
      <c r="R259" t="inlineStr">
        <is>
          <t>Solar Plexus</t>
        </is>
      </c>
      <c r="S259" t="inlineStr">
        <is>
          <t>Root</t>
        </is>
      </c>
      <c r="X259" t="inlineStr">
        <is>
          <t>Mineral</t>
        </is>
      </c>
      <c r="Z259" s="3" t="inlineStr">
        <is>
          <t>Shadow integration</t>
        </is>
      </c>
      <c r="AA259" s="3" t="inlineStr">
        <is>
          <t>Use when envy, anger, fear, or insecurity is surfacing and you want to understand its message rather than suppress it.</t>
        </is>
      </c>
      <c r="AB259" s="3" t="n"/>
      <c r="AC259" t="inlineStr">
        <is>
          <t>Vitality</t>
        </is>
      </c>
      <c r="AD259" t="inlineStr">
        <is>
          <t>Grounding</t>
        </is>
      </c>
      <c r="AF259" t="inlineStr">
        <is>
          <t>["Integration","Confidence","Vitality"]</t>
        </is>
      </c>
      <c r="AK259" t="b">
        <v>0</v>
      </c>
      <c r="AL259" t="inlineStr">
        <is>
          <t>Unreviewed</t>
        </is>
      </c>
      <c r="AM259" t="inlineStr">
        <is>
          <t>Not Started</t>
        </is>
      </c>
      <c r="AN259" t="inlineStr">
        <is>
          <t>Not Started</t>
        </is>
      </c>
      <c r="AO259" t="inlineStr">
        <is>
          <t>Not Started</t>
        </is>
      </c>
      <c r="AP259" t="inlineStr">
        <is>
          <t>Not Started</t>
        </is>
      </c>
      <c r="AR259" t="inlineStr">
        <is>
          <t>v0.3-2026-06-29</t>
        </is>
      </c>
      <c r="AT259" s="3" t="n"/>
    </row>
    <row r="260">
      <c r="A260" t="inlineStr">
        <is>
          <t>C-0344</t>
        </is>
      </c>
      <c r="B260" t="inlineStr">
        <is>
          <t>Spinel</t>
        </is>
      </c>
      <c r="D260" t="inlineStr">
        <is>
          <t>Oxides</t>
        </is>
      </c>
      <c r="E260" t="inlineStr">
        <is>
          <t>Spinel</t>
        </is>
      </c>
      <c r="F260" t="n">
        <v>3</v>
      </c>
      <c r="G260" t="n">
        <v>25</v>
      </c>
      <c r="H260" t="n">
        <v>0</v>
      </c>
      <c r="I260" t="n">
        <v>0</v>
      </c>
      <c r="J260" t="inlineStr">
        <is>
          <t>Sphene</t>
        </is>
      </c>
      <c r="K260" t="inlineStr">
        <is>
          <t>sphene</t>
        </is>
      </c>
      <c r="L260" t="inlineStr">
        <is>
          <t>Spirit Quartz</t>
        </is>
      </c>
      <c r="M260" t="inlineStr">
        <is>
          <t>spirit-quartz</t>
        </is>
      </c>
      <c r="N260" t="b">
        <v>0</v>
      </c>
      <c r="O260" t="inlineStr">
        <is>
          <t>spinel</t>
        </is>
      </c>
      <c r="P260" t="inlineStr">
        <is>
          <t>Not Started</t>
        </is>
      </c>
      <c r="Q260" t="inlineStr">
        <is>
          <t>Root</t>
        </is>
      </c>
      <c r="R260" t="inlineStr">
        <is>
          <t>Heart</t>
        </is>
      </c>
      <c r="S260" t="inlineStr">
        <is>
          <t>Root</t>
        </is>
      </c>
      <c r="X260" t="inlineStr">
        <is>
          <t>Mineral</t>
        </is>
      </c>
      <c r="Z260" s="3" t="inlineStr">
        <is>
          <t>Resilient renewal</t>
        </is>
      </c>
      <c r="AA260" s="3" t="inlineStr">
        <is>
          <t>Use when a setback has shaken your confidence and you need to rebuild strength without pretending the experience did not affect you.</t>
        </is>
      </c>
      <c r="AB260" s="3" t="n"/>
      <c r="AC260" t="inlineStr">
        <is>
          <t>Vitality</t>
        </is>
      </c>
      <c r="AD260" t="inlineStr">
        <is>
          <t>Transformation</t>
        </is>
      </c>
      <c r="AF260" t="inlineStr">
        <is>
          <t>["Resilience","Renewal","Strength"]</t>
        </is>
      </c>
      <c r="AK260" t="b">
        <v>0</v>
      </c>
      <c r="AL260" t="inlineStr">
        <is>
          <t>Unreviewed</t>
        </is>
      </c>
      <c r="AM260" t="inlineStr">
        <is>
          <t>Not Started</t>
        </is>
      </c>
      <c r="AN260" t="inlineStr">
        <is>
          <t>Not Started</t>
        </is>
      </c>
      <c r="AO260" t="inlineStr">
        <is>
          <t>Not Started</t>
        </is>
      </c>
      <c r="AP260" t="inlineStr">
        <is>
          <t>Not Started</t>
        </is>
      </c>
      <c r="AR260" t="inlineStr">
        <is>
          <t>v0.3-2026-06-29</t>
        </is>
      </c>
      <c r="AT260" s="3" t="n"/>
    </row>
    <row r="261">
      <c r="A261" t="inlineStr">
        <is>
          <t>C-0005</t>
        </is>
      </c>
      <c r="B261" t="inlineStr">
        <is>
          <t>Star Aragonite</t>
        </is>
      </c>
      <c r="C261" t="inlineStr">
        <is>
          <t>Sputnik Aragonite</t>
        </is>
      </c>
      <c r="D261" t="inlineStr">
        <is>
          <t>Aragonite</t>
        </is>
      </c>
      <c r="E261" t="inlineStr">
        <is>
          <t>Aragonite</t>
        </is>
      </c>
      <c r="F261" t="n">
        <v>3</v>
      </c>
      <c r="G261" t="n">
        <v>25</v>
      </c>
      <c r="H261" t="n">
        <v>5</v>
      </c>
      <c r="I261" t="n">
        <v>5</v>
      </c>
      <c r="J261" t="inlineStr">
        <is>
          <t>Spirit Quartz</t>
        </is>
      </c>
      <c r="K261" t="inlineStr">
        <is>
          <t>spirit-quartz</t>
        </is>
      </c>
      <c r="L261" t="inlineStr">
        <is>
          <t>Star Jasper</t>
        </is>
      </c>
      <c r="M261" t="inlineStr">
        <is>
          <t>star-jasper</t>
        </is>
      </c>
      <c r="N261" t="b">
        <v>0</v>
      </c>
      <c r="O261" t="inlineStr">
        <is>
          <t>star-aragonite</t>
        </is>
      </c>
      <c r="P261" t="inlineStr">
        <is>
          <t>Not Started</t>
        </is>
      </c>
      <c r="Q261" t="inlineStr">
        <is>
          <t>Root</t>
        </is>
      </c>
      <c r="S261" t="inlineStr">
        <is>
          <t>Root</t>
        </is>
      </c>
      <c r="X261" t="inlineStr">
        <is>
          <t>Mineral</t>
        </is>
      </c>
      <c r="Z261" s="3" t="inlineStr">
        <is>
          <t>Centered stability</t>
        </is>
      </c>
      <c r="AA261" s="3" t="inlineStr">
        <is>
          <t>Use when too many demands are pulling at your attention and you need to regain a clear sense of priority.</t>
        </is>
      </c>
      <c r="AB261" s="3" t="n"/>
      <c r="AC261" t="inlineStr">
        <is>
          <t>Grounding</t>
        </is>
      </c>
      <c r="AF261" t="inlineStr">
        <is>
          <t>["Grounding","Stability","Focus"]</t>
        </is>
      </c>
      <c r="AK261" t="b">
        <v>0</v>
      </c>
      <c r="AL261" t="inlineStr">
        <is>
          <t>Unreviewed</t>
        </is>
      </c>
      <c r="AM261" t="inlineStr">
        <is>
          <t>Not Started</t>
        </is>
      </c>
      <c r="AN261" t="inlineStr">
        <is>
          <t>Not Started</t>
        </is>
      </c>
      <c r="AO261" t="inlineStr">
        <is>
          <t>Not Started</t>
        </is>
      </c>
      <c r="AP261" t="inlineStr">
        <is>
          <t>Not Started</t>
        </is>
      </c>
      <c r="AR261" t="inlineStr">
        <is>
          <t>v0.3-2026-06-29</t>
        </is>
      </c>
      <c r="AT261" s="3" t="n"/>
    </row>
    <row r="262">
      <c r="A262" t="inlineStr">
        <is>
          <t>C-0100</t>
        </is>
      </c>
      <c r="B262" t="inlineStr">
        <is>
          <t>Star Jasper</t>
        </is>
      </c>
      <c r="D262" t="inlineStr">
        <is>
          <t>Quartz</t>
        </is>
      </c>
      <c r="E262" t="inlineStr">
        <is>
          <t>Quartz</t>
        </is>
      </c>
      <c r="F262" t="n">
        <v>3</v>
      </c>
      <c r="G262" t="n">
        <v>26</v>
      </c>
      <c r="H262" t="n">
        <v>100</v>
      </c>
      <c r="I262" t="n">
        <v>100</v>
      </c>
      <c r="J262" t="inlineStr">
        <is>
          <t>Star Aragonite</t>
        </is>
      </c>
      <c r="K262" t="inlineStr">
        <is>
          <t>star-aragonite</t>
        </is>
      </c>
      <c r="L262" t="inlineStr">
        <is>
          <t>Staurolite</t>
        </is>
      </c>
      <c r="M262" t="inlineStr">
        <is>
          <t>staurolite</t>
        </is>
      </c>
      <c r="N262" t="b">
        <v>0</v>
      </c>
      <c r="O262" t="inlineStr">
        <is>
          <t>star-jasper</t>
        </is>
      </c>
      <c r="P262" t="inlineStr">
        <is>
          <t>Not Started</t>
        </is>
      </c>
      <c r="Q262" t="inlineStr">
        <is>
          <t>Root</t>
        </is>
      </c>
      <c r="R262" t="inlineStr">
        <is>
          <t>Crown</t>
        </is>
      </c>
      <c r="S262" t="inlineStr">
        <is>
          <t>Root</t>
        </is>
      </c>
      <c r="X262" t="inlineStr">
        <is>
          <t>Mineral</t>
        </is>
      </c>
      <c r="Z262" s="3" t="inlineStr">
        <is>
          <t>Steady hope</t>
        </is>
      </c>
      <c r="AA262" s="3" t="inlineStr">
        <is>
          <t>Use when the path ahead is unclear and you need enough confidence to continue without seeing the entire outcome.</t>
        </is>
      </c>
      <c r="AB262" s="3" t="n"/>
      <c r="AC262" t="inlineStr">
        <is>
          <t>Grounding</t>
        </is>
      </c>
      <c r="AD262" t="inlineStr">
        <is>
          <t>Spiritual Connection</t>
        </is>
      </c>
      <c r="AF262" t="inlineStr">
        <is>
          <t>["Hope","Grounding","Trust"]</t>
        </is>
      </c>
      <c r="AK262" t="b">
        <v>0</v>
      </c>
      <c r="AL262" t="inlineStr">
        <is>
          <t>Unreviewed</t>
        </is>
      </c>
      <c r="AM262" t="inlineStr">
        <is>
          <t>Not Started</t>
        </is>
      </c>
      <c r="AN262" t="inlineStr">
        <is>
          <t>Not Started</t>
        </is>
      </c>
      <c r="AO262" t="inlineStr">
        <is>
          <t>Not Started</t>
        </is>
      </c>
      <c r="AP262" t="inlineStr">
        <is>
          <t>Not Started</t>
        </is>
      </c>
      <c r="AR262" t="inlineStr">
        <is>
          <t>v0.3-2026-06-29</t>
        </is>
      </c>
      <c r="AT262" s="3" t="n"/>
    </row>
    <row r="263">
      <c r="A263" t="inlineStr">
        <is>
          <t>C-0219</t>
        </is>
      </c>
      <c r="B263" t="inlineStr">
        <is>
          <t>Staurolite</t>
        </is>
      </c>
      <c r="D263" t="inlineStr">
        <is>
          <t>Other Mineral</t>
        </is>
      </c>
      <c r="E263" t="inlineStr">
        <is>
          <t>Staurolite</t>
        </is>
      </c>
      <c r="F263" t="n">
        <v>3</v>
      </c>
      <c r="G263" t="n">
        <v>26</v>
      </c>
      <c r="H263" t="n">
        <v>219</v>
      </c>
      <c r="I263" t="n">
        <v>219</v>
      </c>
      <c r="J263" t="inlineStr">
        <is>
          <t>Star Jasper</t>
        </is>
      </c>
      <c r="K263" t="inlineStr">
        <is>
          <t>star-jasper</t>
        </is>
      </c>
      <c r="L263" t="inlineStr">
        <is>
          <t>Stibnite</t>
        </is>
      </c>
      <c r="M263" t="inlineStr">
        <is>
          <t>stibnite</t>
        </is>
      </c>
      <c r="N263" t="b">
        <v>0</v>
      </c>
      <c r="O263" t="inlineStr">
        <is>
          <t>staurolite</t>
        </is>
      </c>
      <c r="P263" t="inlineStr">
        <is>
          <t>Not Started</t>
        </is>
      </c>
      <c r="Q263" t="inlineStr">
        <is>
          <t>Root</t>
        </is>
      </c>
      <c r="R263" t="inlineStr">
        <is>
          <t>Heart</t>
        </is>
      </c>
      <c r="S263" t="inlineStr">
        <is>
          <t>Root</t>
        </is>
      </c>
      <c r="X263" t="inlineStr">
        <is>
          <t>Mineral</t>
        </is>
      </c>
      <c r="Z263" s="3" t="inlineStr">
        <is>
          <t>Faithful perseverance</t>
        </is>
      </c>
      <c r="AA263" s="3" t="inlineStr">
        <is>
          <t>Use when hardship is challenging your confidence and you need strength rooted in meaning rather than sheer force.</t>
        </is>
      </c>
      <c r="AB263" s="3" t="n"/>
      <c r="AC263" t="inlineStr">
        <is>
          <t>Protection</t>
        </is>
      </c>
      <c r="AD263" t="inlineStr">
        <is>
          <t>Grounding</t>
        </is>
      </c>
      <c r="AF263" t="inlineStr">
        <is>
          <t>["Protection","Endurance","Integrity"]</t>
        </is>
      </c>
      <c r="AK263" t="b">
        <v>0</v>
      </c>
      <c r="AL263" t="inlineStr">
        <is>
          <t>Unreviewed</t>
        </is>
      </c>
      <c r="AM263" t="inlineStr">
        <is>
          <t>Not Started</t>
        </is>
      </c>
      <c r="AN263" t="inlineStr">
        <is>
          <t>Not Started</t>
        </is>
      </c>
      <c r="AO263" t="inlineStr">
        <is>
          <t>Not Started</t>
        </is>
      </c>
      <c r="AP263" t="inlineStr">
        <is>
          <t>Not Started</t>
        </is>
      </c>
      <c r="AR263" t="inlineStr">
        <is>
          <t>v0.3-2026-06-29</t>
        </is>
      </c>
      <c r="AT263" s="3" t="n"/>
    </row>
    <row r="264">
      <c r="A264" t="inlineStr">
        <is>
          <t>C-0223</t>
        </is>
      </c>
      <c r="B264" t="inlineStr">
        <is>
          <t>Stichtite</t>
        </is>
      </c>
      <c r="D264" t="inlineStr">
        <is>
          <t>Carbonates</t>
        </is>
      </c>
      <c r="E264" t="inlineStr">
        <is>
          <t>Stichtite</t>
        </is>
      </c>
      <c r="F264" t="n">
        <v>3</v>
      </c>
      <c r="G264" t="n">
        <v>26</v>
      </c>
      <c r="H264" t="n">
        <v>223</v>
      </c>
      <c r="I264" t="n">
        <v>223</v>
      </c>
      <c r="J264" t="inlineStr">
        <is>
          <t>Stibnite</t>
        </is>
      </c>
      <c r="K264" t="inlineStr">
        <is>
          <t>stibnite</t>
        </is>
      </c>
      <c r="L264" t="inlineStr">
        <is>
          <t>Stilbite</t>
        </is>
      </c>
      <c r="M264" t="inlineStr">
        <is>
          <t>stilbite</t>
        </is>
      </c>
      <c r="N264" t="b">
        <v>0</v>
      </c>
      <c r="O264" t="inlineStr">
        <is>
          <t>stichtite</t>
        </is>
      </c>
      <c r="P264" t="inlineStr">
        <is>
          <t>Not Started</t>
        </is>
      </c>
      <c r="Q264" t="inlineStr">
        <is>
          <t>Heart</t>
        </is>
      </c>
      <c r="R264" t="inlineStr">
        <is>
          <t>Third Eye</t>
        </is>
      </c>
      <c r="S264" t="inlineStr">
        <is>
          <t>Heart</t>
        </is>
      </c>
      <c r="X264" t="inlineStr">
        <is>
          <t>Mineral</t>
        </is>
      </c>
      <c r="Z264" s="3" t="inlineStr">
        <is>
          <t>Compassionate boundaries</t>
        </is>
      </c>
      <c r="AA264" s="3" t="inlineStr">
        <is>
          <t>Use when you want to release resentment while still honoring the limits that protect your well-being.</t>
        </is>
      </c>
      <c r="AB264" s="3" t="n"/>
      <c r="AC264" t="inlineStr">
        <is>
          <t>Heart Healing</t>
        </is>
      </c>
      <c r="AD264" t="inlineStr">
        <is>
          <t>Spiritual Connection</t>
        </is>
      </c>
      <c r="AF264" t="inlineStr">
        <is>
          <t>["Compassion","Forgiveness","Boundaries"]</t>
        </is>
      </c>
      <c r="AK264" t="b">
        <v>0</v>
      </c>
      <c r="AL264" t="inlineStr">
        <is>
          <t>Unreviewed</t>
        </is>
      </c>
      <c r="AM264" t="inlineStr">
        <is>
          <t>Not Started</t>
        </is>
      </c>
      <c r="AN264" t="inlineStr">
        <is>
          <t>Not Started</t>
        </is>
      </c>
      <c r="AO264" t="inlineStr">
        <is>
          <t>Not Started</t>
        </is>
      </c>
      <c r="AP264" t="inlineStr">
        <is>
          <t>Not Started</t>
        </is>
      </c>
      <c r="AR264" t="inlineStr">
        <is>
          <t>v0.3-2026-06-29</t>
        </is>
      </c>
      <c r="AT264" s="3" t="n"/>
    </row>
    <row r="265">
      <c r="A265" t="inlineStr">
        <is>
          <t>C-0110</t>
        </is>
      </c>
      <c r="B265" t="inlineStr">
        <is>
          <t>Strawberry Quartz</t>
        </is>
      </c>
      <c r="D265" t="inlineStr">
        <is>
          <t>Quartz</t>
        </is>
      </c>
      <c r="E265" t="inlineStr">
        <is>
          <t>Quartz</t>
        </is>
      </c>
      <c r="F265" t="n">
        <v>3</v>
      </c>
      <c r="G265" t="n">
        <v>26</v>
      </c>
      <c r="H265" t="n">
        <v>110</v>
      </c>
      <c r="I265" t="n">
        <v>110</v>
      </c>
      <c r="J265" t="inlineStr">
        <is>
          <t>Stilbite</t>
        </is>
      </c>
      <c r="K265" t="inlineStr">
        <is>
          <t>stilbite</t>
        </is>
      </c>
      <c r="L265" t="inlineStr">
        <is>
          <t>Stromatolite</t>
        </is>
      </c>
      <c r="M265" t="inlineStr">
        <is>
          <t>stromatolite</t>
        </is>
      </c>
      <c r="N265" t="b">
        <v>0</v>
      </c>
      <c r="O265" t="inlineStr">
        <is>
          <t>strawberry-quartz</t>
        </is>
      </c>
      <c r="P265" t="inlineStr">
        <is>
          <t>Not Started</t>
        </is>
      </c>
      <c r="Q265" t="inlineStr">
        <is>
          <t>Heart</t>
        </is>
      </c>
      <c r="R265" t="inlineStr">
        <is>
          <t>Sacral</t>
        </is>
      </c>
      <c r="S265" t="inlineStr">
        <is>
          <t>Heart</t>
        </is>
      </c>
      <c r="X265" t="inlineStr">
        <is>
          <t>Mineral</t>
        </is>
      </c>
      <c r="Z265" s="3" t="inlineStr">
        <is>
          <t>Everyday joy</t>
        </is>
      </c>
      <c r="AA265" s="3" t="inlineStr">
        <is>
          <t>Use when life feels emotionally flat and you need to notice what is still warm, pleasurable, or worth appreciating.</t>
        </is>
      </c>
      <c r="AB265" s="3" t="n"/>
      <c r="AC265" t="inlineStr">
        <is>
          <t>Heart Healing</t>
        </is>
      </c>
      <c r="AD265" t="inlineStr">
        <is>
          <t>Joy</t>
        </is>
      </c>
      <c r="AE265" t="inlineStr">
        <is>
          <t>Amplification</t>
        </is>
      </c>
      <c r="AF265" t="inlineStr">
        <is>
          <t>["Joy","Appreciation","Love"]</t>
        </is>
      </c>
      <c r="AK265" t="b">
        <v>0</v>
      </c>
      <c r="AL265" t="inlineStr">
        <is>
          <t>Unreviewed</t>
        </is>
      </c>
      <c r="AM265" t="inlineStr">
        <is>
          <t>Not Started</t>
        </is>
      </c>
      <c r="AN265" t="inlineStr">
        <is>
          <t>Not Started</t>
        </is>
      </c>
      <c r="AO265" t="inlineStr">
        <is>
          <t>Not Started</t>
        </is>
      </c>
      <c r="AP265" t="inlineStr">
        <is>
          <t>Not Started</t>
        </is>
      </c>
      <c r="AR265" t="inlineStr">
        <is>
          <t>v0.3-2026-06-29</t>
        </is>
      </c>
      <c r="AT265" s="3" t="n"/>
    </row>
    <row r="266">
      <c r="A266" t="inlineStr">
        <is>
          <t>C-0202</t>
        </is>
      </c>
      <c r="B266" t="inlineStr">
        <is>
          <t>Stromatolite</t>
        </is>
      </c>
      <c r="D266" t="inlineStr">
        <is>
          <t>Fossil Material</t>
        </is>
      </c>
      <c r="E266" t="inlineStr">
        <is>
          <t>Stromatolite</t>
        </is>
      </c>
      <c r="F266" t="n">
        <v>3</v>
      </c>
      <c r="G266" t="n">
        <v>26</v>
      </c>
      <c r="H266" t="n">
        <v>202</v>
      </c>
      <c r="I266" t="n">
        <v>202</v>
      </c>
      <c r="J266" t="inlineStr">
        <is>
          <t>Strawberry Quartz</t>
        </is>
      </c>
      <c r="K266" t="inlineStr">
        <is>
          <t>strawberry-quartz</t>
        </is>
      </c>
      <c r="L266" t="inlineStr">
        <is>
          <t>Sugilite</t>
        </is>
      </c>
      <c r="M266" t="inlineStr">
        <is>
          <t>sugilite</t>
        </is>
      </c>
      <c r="N266" t="b">
        <v>0</v>
      </c>
      <c r="O266" t="inlineStr">
        <is>
          <t>stromatolite</t>
        </is>
      </c>
      <c r="P266" t="inlineStr">
        <is>
          <t>Not Started</t>
        </is>
      </c>
      <c r="Q266" t="inlineStr">
        <is>
          <t>Root</t>
        </is>
      </c>
      <c r="S266" t="inlineStr">
        <is>
          <t>Root</t>
        </is>
      </c>
      <c r="X266" t="inlineStr">
        <is>
          <t>Fossil</t>
        </is>
      </c>
      <c r="Z266" s="3" t="inlineStr">
        <is>
          <t>Long-term perspective</t>
        </is>
      </c>
      <c r="AA266" s="3" t="inlineStr">
        <is>
          <t>Use when slow progress is making you doubt whether your efforts are creating anything meaningful.</t>
        </is>
      </c>
      <c r="AB266" s="3" t="n"/>
      <c r="AC266" t="inlineStr">
        <is>
          <t>Grounding</t>
        </is>
      </c>
      <c r="AD266" t="inlineStr">
        <is>
          <t>Vitality</t>
        </is>
      </c>
      <c r="AE266" t="inlineStr">
        <is>
          <t>Spiritual Connection</t>
        </is>
      </c>
      <c r="AF266" t="inlineStr">
        <is>
          <t>["Patience","Grounding","Wisdom"]</t>
        </is>
      </c>
      <c r="AK266" t="b">
        <v>0</v>
      </c>
      <c r="AL266" t="inlineStr">
        <is>
          <t>Unreviewed</t>
        </is>
      </c>
      <c r="AM266" t="inlineStr">
        <is>
          <t>Not Started</t>
        </is>
      </c>
      <c r="AN266" t="inlineStr">
        <is>
          <t>Not Started</t>
        </is>
      </c>
      <c r="AO266" t="inlineStr">
        <is>
          <t>Not Started</t>
        </is>
      </c>
      <c r="AP266" t="inlineStr">
        <is>
          <t>Not Started</t>
        </is>
      </c>
      <c r="AR266" t="inlineStr">
        <is>
          <t>v0.3-2026-06-29</t>
        </is>
      </c>
      <c r="AT266" s="3" t="n"/>
    </row>
    <row r="267">
      <c r="A267" t="inlineStr">
        <is>
          <t>C-0225</t>
        </is>
      </c>
      <c r="B267" t="inlineStr">
        <is>
          <t>Sulfur</t>
        </is>
      </c>
      <c r="D267" t="inlineStr">
        <is>
          <t>Other Mineral</t>
        </is>
      </c>
      <c r="E267" t="inlineStr">
        <is>
          <t>Sulfur</t>
        </is>
      </c>
      <c r="F267" t="n">
        <v>3</v>
      </c>
      <c r="G267" t="n">
        <v>26</v>
      </c>
      <c r="H267" t="n">
        <v>225</v>
      </c>
      <c r="I267" t="n">
        <v>225</v>
      </c>
      <c r="J267" t="inlineStr">
        <is>
          <t>Sugilite</t>
        </is>
      </c>
      <c r="K267" t="inlineStr">
        <is>
          <t>sugilite</t>
        </is>
      </c>
      <c r="L267" t="inlineStr">
        <is>
          <t>Sunstone</t>
        </is>
      </c>
      <c r="M267" t="inlineStr">
        <is>
          <t>sunstone</t>
        </is>
      </c>
      <c r="N267" t="b">
        <v>0</v>
      </c>
      <c r="O267" t="inlineStr">
        <is>
          <t>sulfur</t>
        </is>
      </c>
      <c r="P267" t="inlineStr">
        <is>
          <t>Not Started</t>
        </is>
      </c>
      <c r="Q267" t="inlineStr">
        <is>
          <t>Solar Plexus</t>
        </is>
      </c>
      <c r="S267" t="inlineStr">
        <is>
          <t>Solar Plexus</t>
        </is>
      </c>
      <c r="X267" t="inlineStr">
        <is>
          <t>Mineral</t>
        </is>
      </c>
      <c r="Z267" s="3" t="inlineStr">
        <is>
          <t>Energized expression</t>
        </is>
      </c>
      <c r="AA267" s="3" t="inlineStr">
        <is>
          <t>Use when you feel dull, inhibited, or creatively blocked and need permission to bring more energy into your expression.</t>
        </is>
      </c>
      <c r="AB267" s="3" t="n"/>
      <c r="AC267" t="inlineStr">
        <is>
          <t>Confidence</t>
        </is>
      </c>
      <c r="AD267" t="inlineStr">
        <is>
          <t>Protection</t>
        </is>
      </c>
      <c r="AE267" t="inlineStr">
        <is>
          <t>Vitality</t>
        </is>
      </c>
      <c r="AF267" t="inlineStr">
        <is>
          <t>["Purification","Vitality","Expression"]</t>
        </is>
      </c>
      <c r="AK267" t="b">
        <v>0</v>
      </c>
      <c r="AL267" t="inlineStr">
        <is>
          <t>Unreviewed</t>
        </is>
      </c>
      <c r="AM267" t="inlineStr">
        <is>
          <t>Not Started</t>
        </is>
      </c>
      <c r="AN267" t="inlineStr">
        <is>
          <t>Not Started</t>
        </is>
      </c>
      <c r="AO267" t="inlineStr">
        <is>
          <t>Not Started</t>
        </is>
      </c>
      <c r="AP267" t="inlineStr">
        <is>
          <t>Not Started</t>
        </is>
      </c>
      <c r="AR267" t="inlineStr">
        <is>
          <t>v0.3-2026-06-29</t>
        </is>
      </c>
      <c r="AT267" s="3" t="n"/>
    </row>
    <row r="268">
      <c r="A268" t="inlineStr">
        <is>
          <t>C-0369</t>
        </is>
      </c>
      <c r="B268" t="inlineStr">
        <is>
          <t>Tanzan Aura Quartz</t>
        </is>
      </c>
      <c r="C268" t="inlineStr">
        <is>
          <t>Tanzine Aura Quartz; Indigo Aura Quartz</t>
        </is>
      </c>
      <c r="D268" t="inlineStr">
        <is>
          <t>Quartz</t>
        </is>
      </c>
      <c r="E268" t="inlineStr">
        <is>
          <t>Quartz</t>
        </is>
      </c>
      <c r="F268" t="n">
        <v>3</v>
      </c>
      <c r="G268" t="n">
        <v>26</v>
      </c>
      <c r="H268" t="n">
        <v>0</v>
      </c>
      <c r="I268" t="n">
        <v>0</v>
      </c>
      <c r="J268" t="inlineStr">
        <is>
          <t>Tangerine Quartz</t>
        </is>
      </c>
      <c r="K268" t="inlineStr">
        <is>
          <t>tangerine-quartz</t>
        </is>
      </c>
      <c r="L268" t="inlineStr">
        <is>
          <t>Tanzanite</t>
        </is>
      </c>
      <c r="M268" t="inlineStr">
        <is>
          <t>tanzanite</t>
        </is>
      </c>
      <c r="N268" t="b">
        <v>0</v>
      </c>
      <c r="O268" t="inlineStr">
        <is>
          <t>tanzan-aura-quartz</t>
        </is>
      </c>
      <c r="P268" t="inlineStr">
        <is>
          <t>Not Started</t>
        </is>
      </c>
      <c r="Q268" t="inlineStr">
        <is>
          <t>Crown</t>
        </is>
      </c>
      <c r="R268" t="inlineStr">
        <is>
          <t>Third Eye</t>
        </is>
      </c>
      <c r="S268" t="inlineStr">
        <is>
          <t>Crown</t>
        </is>
      </c>
      <c r="X268" t="inlineStr">
        <is>
          <t>Mineral</t>
        </is>
      </c>
      <c r="Z268" s="3" t="inlineStr">
        <is>
          <t>Expanded perspective</t>
        </is>
      </c>
      <c r="AA268" s="3" t="inlineStr">
        <is>
          <t>Use when you are overly focused on one immediate problem and need to reconnect with a broader sense of meaning or possibility.</t>
        </is>
      </c>
      <c r="AB268" s="3" t="n"/>
      <c r="AC268" t="inlineStr">
        <is>
          <t>Intuition</t>
        </is>
      </c>
      <c r="AD268" t="inlineStr">
        <is>
          <t>Spiritual Connection</t>
        </is>
      </c>
      <c r="AF268" t="inlineStr">
        <is>
          <t>["Intuition","Spirit","Insight"]</t>
        </is>
      </c>
      <c r="AK268" t="b">
        <v>0</v>
      </c>
      <c r="AL268" t="inlineStr">
        <is>
          <t>Unreviewed</t>
        </is>
      </c>
      <c r="AM268" t="inlineStr">
        <is>
          <t>Not Started</t>
        </is>
      </c>
      <c r="AN268" t="inlineStr">
        <is>
          <t>Not Started</t>
        </is>
      </c>
      <c r="AO268" t="inlineStr">
        <is>
          <t>Not Started</t>
        </is>
      </c>
      <c r="AP268" t="inlineStr">
        <is>
          <t>Not Started</t>
        </is>
      </c>
      <c r="AR268" t="inlineStr">
        <is>
          <t>v0.3-2026-06-29</t>
        </is>
      </c>
      <c r="AT268" s="3" t="n"/>
    </row>
    <row r="269">
      <c r="A269" t="inlineStr">
        <is>
          <t>C-0266</t>
        </is>
      </c>
      <c r="B269" t="inlineStr">
        <is>
          <t>Tektite</t>
        </is>
      </c>
      <c r="D269" t="inlineStr">
        <is>
          <t>Meteoritic Material</t>
        </is>
      </c>
      <c r="E269" t="inlineStr">
        <is>
          <t>Tektite</t>
        </is>
      </c>
      <c r="F269" t="n">
        <v>3</v>
      </c>
      <c r="G269" t="n">
        <v>26</v>
      </c>
      <c r="H269" t="n">
        <v>266</v>
      </c>
      <c r="I269" t="n">
        <v>266</v>
      </c>
      <c r="J269" t="inlineStr">
        <is>
          <t>Tanzanite</t>
        </is>
      </c>
      <c r="K269" t="inlineStr">
        <is>
          <t>tanzanite</t>
        </is>
      </c>
      <c r="L269" t="inlineStr">
        <is>
          <t>Thulite</t>
        </is>
      </c>
      <c r="M269" t="inlineStr">
        <is>
          <t>thulite</t>
        </is>
      </c>
      <c r="N269" t="b">
        <v>0</v>
      </c>
      <c r="O269" t="inlineStr">
        <is>
          <t>tektite</t>
        </is>
      </c>
      <c r="P269" t="inlineStr">
        <is>
          <t>Not Started</t>
        </is>
      </c>
      <c r="Q269" t="inlineStr">
        <is>
          <t>Crown</t>
        </is>
      </c>
      <c r="R269" t="inlineStr">
        <is>
          <t>Root</t>
        </is>
      </c>
      <c r="S269" t="inlineStr">
        <is>
          <t>Crown</t>
        </is>
      </c>
      <c r="X269" t="inlineStr">
        <is>
          <t>Mineraloid</t>
        </is>
      </c>
      <c r="Z269" s="3" t="inlineStr">
        <is>
          <t>Accelerated change</t>
        </is>
      </c>
      <c r="AA269" s="3" t="inlineStr">
        <is>
          <t>Use when you are ready for significant change but need to distinguish genuine readiness from impatience or escape.</t>
        </is>
      </c>
      <c r="AB269" s="3" t="n"/>
      <c r="AC269" t="inlineStr">
        <is>
          <t>Protection</t>
        </is>
      </c>
      <c r="AD269" t="inlineStr">
        <is>
          <t>Transformation</t>
        </is>
      </c>
      <c r="AF269" t="inlineStr">
        <is>
          <t>["Transformation","Freedom","Insight"]</t>
        </is>
      </c>
      <c r="AK269" t="b">
        <v>0</v>
      </c>
      <c r="AL269" t="inlineStr">
        <is>
          <t>Unreviewed</t>
        </is>
      </c>
      <c r="AM269" t="inlineStr">
        <is>
          <t>Not Started</t>
        </is>
      </c>
      <c r="AN269" t="inlineStr">
        <is>
          <t>Not Started</t>
        </is>
      </c>
      <c r="AO269" t="inlineStr">
        <is>
          <t>Not Started</t>
        </is>
      </c>
      <c r="AP269" t="inlineStr">
        <is>
          <t>Not Started</t>
        </is>
      </c>
      <c r="AR269" t="inlineStr">
        <is>
          <t>v0.3-2026-06-29</t>
        </is>
      </c>
      <c r="AT269" s="3" t="n"/>
    </row>
    <row r="270">
      <c r="A270" t="inlineStr">
        <is>
          <t>C-0267</t>
        </is>
      </c>
      <c r="B270" t="inlineStr">
        <is>
          <t>Thulite</t>
        </is>
      </c>
      <c r="D270" t="inlineStr">
        <is>
          <t>Silicates</t>
        </is>
      </c>
      <c r="E270" t="inlineStr">
        <is>
          <t>Zoisite</t>
        </is>
      </c>
      <c r="F270" t="n">
        <v>3</v>
      </c>
      <c r="G270" t="n">
        <v>26</v>
      </c>
      <c r="H270" t="n">
        <v>267</v>
      </c>
      <c r="I270" t="n">
        <v>267</v>
      </c>
      <c r="J270" t="inlineStr">
        <is>
          <t>Tektite</t>
        </is>
      </c>
      <c r="K270" t="inlineStr">
        <is>
          <t>tektite</t>
        </is>
      </c>
      <c r="L270" t="inlineStr">
        <is>
          <t>Thunderegg</t>
        </is>
      </c>
      <c r="M270" t="inlineStr">
        <is>
          <t>thunderegg</t>
        </is>
      </c>
      <c r="N270" t="b">
        <v>0</v>
      </c>
      <c r="O270" t="inlineStr">
        <is>
          <t>thulite</t>
        </is>
      </c>
      <c r="P270" t="inlineStr">
        <is>
          <t>Not Started</t>
        </is>
      </c>
      <c r="Q270" t="inlineStr">
        <is>
          <t>Heart</t>
        </is>
      </c>
      <c r="R270" t="inlineStr">
        <is>
          <t>Sacral</t>
        </is>
      </c>
      <c r="S270" t="inlineStr">
        <is>
          <t>Heart</t>
        </is>
      </c>
      <c r="X270" t="inlineStr">
        <is>
          <t>Mineral</t>
        </is>
      </c>
      <c r="Z270" s="3" t="inlineStr">
        <is>
          <t>Confident compassion</t>
        </is>
      </c>
      <c r="AA270" s="3" t="inlineStr">
        <is>
          <t>Use when you want to be kind and supportive without making yourself smaller or ignoring your own needs.</t>
        </is>
      </c>
      <c r="AB270" s="3" t="n"/>
      <c r="AC270" t="inlineStr">
        <is>
          <t>Joy</t>
        </is>
      </c>
      <c r="AD270" t="inlineStr">
        <is>
          <t>Confidence</t>
        </is>
      </c>
      <c r="AF270" t="inlineStr">
        <is>
          <t>["Compassion","Confidence","Joy"]</t>
        </is>
      </c>
      <c r="AK270" t="b">
        <v>0</v>
      </c>
      <c r="AL270" t="inlineStr">
        <is>
          <t>Unreviewed</t>
        </is>
      </c>
      <c r="AM270" t="inlineStr">
        <is>
          <t>Not Started</t>
        </is>
      </c>
      <c r="AN270" t="inlineStr">
        <is>
          <t>Not Started</t>
        </is>
      </c>
      <c r="AO270" t="inlineStr">
        <is>
          <t>Not Started</t>
        </is>
      </c>
      <c r="AP270" t="inlineStr">
        <is>
          <t>Not Started</t>
        </is>
      </c>
      <c r="AR270" t="inlineStr">
        <is>
          <t>v0.3-2026-06-29</t>
        </is>
      </c>
      <c r="AT270" s="3" t="n"/>
    </row>
    <row r="271">
      <c r="A271" t="inlineStr">
        <is>
          <t>C-0350</t>
        </is>
      </c>
      <c r="B271" t="inlineStr">
        <is>
          <t>Tibetan Quartz</t>
        </is>
      </c>
      <c r="D271" t="inlineStr">
        <is>
          <t>Quartz</t>
        </is>
      </c>
      <c r="E271" t="inlineStr">
        <is>
          <t>Quartz</t>
        </is>
      </c>
      <c r="F271" t="n">
        <v>3</v>
      </c>
      <c r="G271" t="n">
        <v>27</v>
      </c>
      <c r="H271" t="n">
        <v>350</v>
      </c>
      <c r="I271" t="n">
        <v>350</v>
      </c>
      <c r="J271" t="inlineStr">
        <is>
          <t>Thunderegg</t>
        </is>
      </c>
      <c r="K271" t="inlineStr">
        <is>
          <t>thunderegg</t>
        </is>
      </c>
      <c r="L271" t="inlineStr">
        <is>
          <t>Tiffany Stone</t>
        </is>
      </c>
      <c r="M271" t="inlineStr">
        <is>
          <t>tiffany-stone</t>
        </is>
      </c>
      <c r="N271" t="b">
        <v>0</v>
      </c>
      <c r="O271" t="inlineStr">
        <is>
          <t>tibetan-quartz</t>
        </is>
      </c>
      <c r="P271" t="inlineStr">
        <is>
          <t>Not Started</t>
        </is>
      </c>
      <c r="Q271" t="inlineStr">
        <is>
          <t>Crown</t>
        </is>
      </c>
      <c r="R271" t="inlineStr">
        <is>
          <t>Root</t>
        </is>
      </c>
      <c r="S271" t="inlineStr">
        <is>
          <t>Crown</t>
        </is>
      </c>
      <c r="X271" t="inlineStr">
        <is>
          <t>Mineral</t>
        </is>
      </c>
      <c r="Z271" s="3" t="inlineStr">
        <is>
          <t>Protected awareness</t>
        </is>
      </c>
      <c r="AA271" s="3" t="inlineStr">
        <is>
          <t>Use when you are doing intuitive or spiritual work and want to stay grounded, discerning, and connected to your own boundaries.</t>
        </is>
      </c>
      <c r="AB271" s="3" t="n"/>
      <c r="AC271" t="inlineStr">
        <is>
          <t>Protection</t>
        </is>
      </c>
      <c r="AD271" t="inlineStr">
        <is>
          <t>Spiritual Connection</t>
        </is>
      </c>
      <c r="AE271" t="inlineStr">
        <is>
          <t>Clarity &amp; Focus</t>
        </is>
      </c>
      <c r="AF271" t="inlineStr">
        <is>
          <t>["Protection","Spirit","Clarity"]</t>
        </is>
      </c>
      <c r="AK271" t="b">
        <v>0</v>
      </c>
      <c r="AL271" t="inlineStr">
        <is>
          <t>Unreviewed</t>
        </is>
      </c>
      <c r="AM271" t="inlineStr">
        <is>
          <t>Not Started</t>
        </is>
      </c>
      <c r="AN271" t="inlineStr">
        <is>
          <t>Not Started</t>
        </is>
      </c>
      <c r="AO271" t="inlineStr">
        <is>
          <t>Not Started</t>
        </is>
      </c>
      <c r="AP271" t="inlineStr">
        <is>
          <t>Not Started</t>
        </is>
      </c>
      <c r="AR271" t="inlineStr">
        <is>
          <t>v0.3-2026-06-29</t>
        </is>
      </c>
      <c r="AT271" s="3" t="n"/>
    </row>
    <row r="272">
      <c r="A272" t="inlineStr">
        <is>
          <t>C-0227</t>
        </is>
      </c>
      <c r="B272" t="inlineStr">
        <is>
          <t>Topaz</t>
        </is>
      </c>
      <c r="D272" t="inlineStr">
        <is>
          <t>Silicates</t>
        </is>
      </c>
      <c r="E272" t="inlineStr">
        <is>
          <t>Topaz</t>
        </is>
      </c>
      <c r="F272" t="n">
        <v>3</v>
      </c>
      <c r="G272" t="n">
        <v>27</v>
      </c>
      <c r="H272" t="n">
        <v>227</v>
      </c>
      <c r="I272" t="n">
        <v>227</v>
      </c>
      <c r="J272" t="inlineStr">
        <is>
          <t>Titanium Aura Quartz</t>
        </is>
      </c>
      <c r="K272" t="inlineStr">
        <is>
          <t>titanium-aura-quartz</t>
        </is>
      </c>
      <c r="L272" t="inlineStr">
        <is>
          <t>Tourmaline Quartz</t>
        </is>
      </c>
      <c r="M272" t="inlineStr">
        <is>
          <t>tourmaline-quartz</t>
        </is>
      </c>
      <c r="N272" t="b">
        <v>0</v>
      </c>
      <c r="O272" t="inlineStr">
        <is>
          <t>topaz</t>
        </is>
      </c>
      <c r="P272" t="inlineStr">
        <is>
          <t>Not Started</t>
        </is>
      </c>
      <c r="Q272" t="inlineStr">
        <is>
          <t>Solar Plexus</t>
        </is>
      </c>
      <c r="R272" t="inlineStr">
        <is>
          <t>Crown</t>
        </is>
      </c>
      <c r="S272" t="inlineStr">
        <is>
          <t>Solar Plexus</t>
        </is>
      </c>
      <c r="X272" t="inlineStr">
        <is>
          <t>Mineral</t>
        </is>
      </c>
      <c r="Z272" s="3" t="inlineStr">
        <is>
          <t>Focused intention</t>
        </is>
      </c>
      <c r="AA272" s="3" t="inlineStr">
        <is>
          <t>Use when you have several ambitions competing for attention and need to choose where your energy will have the greatest impact.</t>
        </is>
      </c>
      <c r="AB272" s="3" t="n"/>
      <c r="AC272" t="inlineStr">
        <is>
          <t>Protection</t>
        </is>
      </c>
      <c r="AD272" t="inlineStr">
        <is>
          <t>Clarity &amp; Focus</t>
        </is>
      </c>
      <c r="AF272" t="inlineStr">
        <is>
          <t>["Focus","Confidence","Purpose"]</t>
        </is>
      </c>
      <c r="AK272" t="b">
        <v>0</v>
      </c>
      <c r="AL272" t="inlineStr">
        <is>
          <t>Unreviewed</t>
        </is>
      </c>
      <c r="AM272" t="inlineStr">
        <is>
          <t>Not Started</t>
        </is>
      </c>
      <c r="AN272" t="inlineStr">
        <is>
          <t>Not Started</t>
        </is>
      </c>
      <c r="AO272" t="inlineStr">
        <is>
          <t>Not Started</t>
        </is>
      </c>
      <c r="AP272" t="inlineStr">
        <is>
          <t>Not Started</t>
        </is>
      </c>
      <c r="AR272" t="inlineStr">
        <is>
          <t>v0.3-2026-06-29</t>
        </is>
      </c>
      <c r="AT272" s="3" t="n"/>
    </row>
    <row r="273">
      <c r="A273" t="inlineStr">
        <is>
          <t>C-0268</t>
        </is>
      </c>
      <c r="B273" t="inlineStr">
        <is>
          <t>Trolleite</t>
        </is>
      </c>
      <c r="D273" t="inlineStr">
        <is>
          <t>Phosphates</t>
        </is>
      </c>
      <c r="E273" t="inlineStr">
        <is>
          <t>Trolleite</t>
        </is>
      </c>
      <c r="F273" t="n">
        <v>3</v>
      </c>
      <c r="G273" t="n">
        <v>27</v>
      </c>
      <c r="H273" t="n">
        <v>268</v>
      </c>
      <c r="I273" t="n">
        <v>268</v>
      </c>
      <c r="J273" t="inlineStr">
        <is>
          <t>Tremolite</t>
        </is>
      </c>
      <c r="K273" t="inlineStr">
        <is>
          <t>tremolite</t>
        </is>
      </c>
      <c r="L273" t="inlineStr">
        <is>
          <t>Turquoise</t>
        </is>
      </c>
      <c r="M273" t="inlineStr">
        <is>
          <t>turquoise</t>
        </is>
      </c>
      <c r="N273" t="b">
        <v>0</v>
      </c>
      <c r="O273" t="inlineStr">
        <is>
          <t>trolleite</t>
        </is>
      </c>
      <c r="P273" t="inlineStr">
        <is>
          <t>Not Started</t>
        </is>
      </c>
      <c r="Q273" t="inlineStr">
        <is>
          <t>Third Eye</t>
        </is>
      </c>
      <c r="R273" t="inlineStr">
        <is>
          <t>Throat</t>
        </is>
      </c>
      <c r="S273" t="inlineStr">
        <is>
          <t>Third Eye</t>
        </is>
      </c>
      <c r="X273" t="inlineStr">
        <is>
          <t>Mineral</t>
        </is>
      </c>
      <c r="Z273" s="3" t="inlineStr">
        <is>
          <t>Deep mental calm</t>
        </is>
      </c>
      <c r="AA273" s="3" t="inlineStr">
        <is>
          <t>Use when repetitive thinking is crowding out your ability to see the situation from a wider perspective.</t>
        </is>
      </c>
      <c r="AB273" s="3" t="n"/>
      <c r="AC273" t="inlineStr">
        <is>
          <t>Calm &amp; Peace</t>
        </is>
      </c>
      <c r="AD273" t="inlineStr">
        <is>
          <t>Clarity &amp; Focus</t>
        </is>
      </c>
      <c r="AF273" t="inlineStr">
        <is>
          <t>["Calm","Insight","Clarity"]</t>
        </is>
      </c>
      <c r="AK273" t="b">
        <v>0</v>
      </c>
      <c r="AL273" t="inlineStr">
        <is>
          <t>Unreviewed</t>
        </is>
      </c>
      <c r="AM273" t="inlineStr">
        <is>
          <t>Not Started</t>
        </is>
      </c>
      <c r="AN273" t="inlineStr">
        <is>
          <t>Not Started</t>
        </is>
      </c>
      <c r="AO273" t="inlineStr">
        <is>
          <t>Not Started</t>
        </is>
      </c>
      <c r="AP273" t="inlineStr">
        <is>
          <t>Not Started</t>
        </is>
      </c>
      <c r="AR273" t="inlineStr">
        <is>
          <t>v0.3-2026-06-29</t>
        </is>
      </c>
      <c r="AT273" s="3" t="n"/>
    </row>
    <row r="274">
      <c r="A274" t="inlineStr">
        <is>
          <t>C-0080</t>
        </is>
      </c>
      <c r="B274" t="inlineStr">
        <is>
          <t>Turritella Agate</t>
        </is>
      </c>
      <c r="D274" t="inlineStr">
        <is>
          <t>Quartz</t>
        </is>
      </c>
      <c r="E274" t="inlineStr">
        <is>
          <t>Quartz</t>
        </is>
      </c>
      <c r="F274" t="n">
        <v>3</v>
      </c>
      <c r="G274" t="n">
        <v>27</v>
      </c>
      <c r="H274" t="n">
        <v>80</v>
      </c>
      <c r="I274" t="n">
        <v>80</v>
      </c>
      <c r="J274" t="inlineStr">
        <is>
          <t>Turquoise</t>
        </is>
      </c>
      <c r="K274" t="inlineStr">
        <is>
          <t>turquoise</t>
        </is>
      </c>
      <c r="L274" t="inlineStr">
        <is>
          <t>Ulexite</t>
        </is>
      </c>
      <c r="M274" t="inlineStr">
        <is>
          <t>ulexite</t>
        </is>
      </c>
      <c r="N274" t="b">
        <v>0</v>
      </c>
      <c r="O274" t="inlineStr">
        <is>
          <t>turritella-agate</t>
        </is>
      </c>
      <c r="P274" t="inlineStr">
        <is>
          <t>Not Started</t>
        </is>
      </c>
      <c r="Q274" t="inlineStr">
        <is>
          <t>Root</t>
        </is>
      </c>
      <c r="S274" t="inlineStr">
        <is>
          <t>Root</t>
        </is>
      </c>
      <c r="X274" t="inlineStr">
        <is>
          <t>Mineral</t>
        </is>
      </c>
      <c r="Z274" s="3" t="inlineStr">
        <is>
          <t>Ancestral perspective</t>
        </is>
      </c>
      <c r="AA274" s="3" t="inlineStr">
        <is>
          <t>Use when a family pattern or inherited belief is influencing your choices and you want to decide what should continue.</t>
        </is>
      </c>
      <c r="AB274" s="3" t="n"/>
      <c r="AC274" t="inlineStr">
        <is>
          <t>Grounding</t>
        </is>
      </c>
      <c r="AD274" t="inlineStr">
        <is>
          <t>Spiritual Connection</t>
        </is>
      </c>
      <c r="AF274" t="inlineStr">
        <is>
          <t>["Grounding","Wisdom","Reflection"]</t>
        </is>
      </c>
      <c r="AK274" t="b">
        <v>0</v>
      </c>
      <c r="AL274" t="inlineStr">
        <is>
          <t>Unreviewed</t>
        </is>
      </c>
      <c r="AM274" t="inlineStr">
        <is>
          <t>Not Started</t>
        </is>
      </c>
      <c r="AN274" t="inlineStr">
        <is>
          <t>Not Started</t>
        </is>
      </c>
      <c r="AO274" t="inlineStr">
        <is>
          <t>Not Started</t>
        </is>
      </c>
      <c r="AP274" t="inlineStr">
        <is>
          <t>Not Started</t>
        </is>
      </c>
      <c r="AR274" t="inlineStr">
        <is>
          <t>v0.3-2026-06-29</t>
        </is>
      </c>
      <c r="AT274" s="3" t="n"/>
    </row>
    <row r="275">
      <c r="A275" t="inlineStr">
        <is>
          <t>C-0354</t>
        </is>
      </c>
      <c r="B275" t="inlineStr">
        <is>
          <t>Ulexite</t>
        </is>
      </c>
      <c r="C275" t="inlineStr">
        <is>
          <t>TV Stone</t>
        </is>
      </c>
      <c r="D275" t="inlineStr">
        <is>
          <t>Borates</t>
        </is>
      </c>
      <c r="E275" t="inlineStr">
        <is>
          <t>Ulexite</t>
        </is>
      </c>
      <c r="F275" t="n">
        <v>3</v>
      </c>
      <c r="G275" t="n">
        <v>27</v>
      </c>
      <c r="H275" t="n">
        <v>354</v>
      </c>
      <c r="I275" t="n">
        <v>354</v>
      </c>
      <c r="J275" t="inlineStr">
        <is>
          <t>Turritella Agate</t>
        </is>
      </c>
      <c r="K275" t="inlineStr">
        <is>
          <t>turritella-agate</t>
        </is>
      </c>
      <c r="L275" t="inlineStr">
        <is>
          <t>Unakite</t>
        </is>
      </c>
      <c r="M275" t="inlineStr">
        <is>
          <t>unakite</t>
        </is>
      </c>
      <c r="N275" t="b">
        <v>0</v>
      </c>
      <c r="O275" t="inlineStr">
        <is>
          <t>ulexite</t>
        </is>
      </c>
      <c r="P275" t="inlineStr">
        <is>
          <t>Not Started</t>
        </is>
      </c>
      <c r="Q275" t="inlineStr">
        <is>
          <t>Third Eye</t>
        </is>
      </c>
      <c r="R275" t="inlineStr">
        <is>
          <t>Crown</t>
        </is>
      </c>
      <c r="S275" t="inlineStr">
        <is>
          <t>Third Eye</t>
        </is>
      </c>
      <c r="X275" t="inlineStr">
        <is>
          <t>Mineral</t>
        </is>
      </c>
      <c r="Z275" s="3" t="inlineStr">
        <is>
          <t>Hidden insight</t>
        </is>
      </c>
      <c r="AA275" s="3" t="inlineStr">
        <is>
          <t>Use when a situation appears simple but you suspect important information is being overlooked or obscured.</t>
        </is>
      </c>
      <c r="AB275" s="3" t="n"/>
      <c r="AC275" t="inlineStr">
        <is>
          <t>Clarity &amp; Focus</t>
        </is>
      </c>
      <c r="AD275" t="inlineStr">
        <is>
          <t>Intuition</t>
        </is>
      </c>
      <c r="AF275" t="inlineStr">
        <is>
          <t>["Insight","Clarity","Intuition"]</t>
        </is>
      </c>
      <c r="AK275" t="b">
        <v>0</v>
      </c>
      <c r="AL275" t="inlineStr">
        <is>
          <t>Unreviewed</t>
        </is>
      </c>
      <c r="AM275" t="inlineStr">
        <is>
          <t>Not Started</t>
        </is>
      </c>
      <c r="AN275" t="inlineStr">
        <is>
          <t>Not Started</t>
        </is>
      </c>
      <c r="AO275" t="inlineStr">
        <is>
          <t>Not Started</t>
        </is>
      </c>
      <c r="AP275" t="inlineStr">
        <is>
          <t>Not Started</t>
        </is>
      </c>
      <c r="AR275" t="inlineStr">
        <is>
          <t>v0.3-2026-06-29</t>
        </is>
      </c>
      <c r="AT275" s="3" t="n"/>
    </row>
    <row r="276">
      <c r="A276" t="inlineStr">
        <is>
          <t>C-0229</t>
        </is>
      </c>
      <c r="B276" t="inlineStr">
        <is>
          <t>Vanadinite</t>
        </is>
      </c>
      <c r="D276" t="inlineStr">
        <is>
          <t>Phosphates</t>
        </is>
      </c>
      <c r="E276" t="inlineStr">
        <is>
          <t>Vanadinite</t>
        </is>
      </c>
      <c r="F276" t="n">
        <v>3</v>
      </c>
      <c r="G276" t="n">
        <v>27</v>
      </c>
      <c r="H276" t="n">
        <v>229</v>
      </c>
      <c r="I276" t="n">
        <v>229</v>
      </c>
      <c r="J276" t="inlineStr">
        <is>
          <t>Uvarovite</t>
        </is>
      </c>
      <c r="K276" t="inlineStr">
        <is>
          <t>uvarovite</t>
        </is>
      </c>
      <c r="L276" t="inlineStr">
        <is>
          <t>Variscite</t>
        </is>
      </c>
      <c r="M276" t="inlineStr">
        <is>
          <t>variscite</t>
        </is>
      </c>
      <c r="N276" t="b">
        <v>0</v>
      </c>
      <c r="O276" t="inlineStr">
        <is>
          <t>vanadinite</t>
        </is>
      </c>
      <c r="P276" t="inlineStr">
        <is>
          <t>Not Started</t>
        </is>
      </c>
      <c r="Q276" t="inlineStr">
        <is>
          <t>Sacral</t>
        </is>
      </c>
      <c r="R276" t="inlineStr">
        <is>
          <t>Root</t>
        </is>
      </c>
      <c r="S276" t="inlineStr">
        <is>
          <t>Sacral</t>
        </is>
      </c>
      <c r="X276" t="inlineStr">
        <is>
          <t>Mineral</t>
        </is>
      </c>
      <c r="Z276" s="3" t="inlineStr">
        <is>
          <t>Focused ambition</t>
        </is>
      </c>
      <c r="AA276" s="3" t="inlineStr">
        <is>
          <t>Use when an important goal requires more discipline, stamina, and direct effort than you have recently been giving it.</t>
        </is>
      </c>
      <c r="AB276" s="3" t="n"/>
      <c r="AC276" t="inlineStr">
        <is>
          <t>Clarity &amp; Focus</t>
        </is>
      </c>
      <c r="AD276" t="inlineStr">
        <is>
          <t>Vitality</t>
        </is>
      </c>
      <c r="AF276" t="inlineStr">
        <is>
          <t>["Motivation","Focus","Endurance"]</t>
        </is>
      </c>
      <c r="AK276" t="b">
        <v>0</v>
      </c>
      <c r="AL276" t="inlineStr">
        <is>
          <t>Unreviewed</t>
        </is>
      </c>
      <c r="AM276" t="inlineStr">
        <is>
          <t>Not Started</t>
        </is>
      </c>
      <c r="AN276" t="inlineStr">
        <is>
          <t>Not Started</t>
        </is>
      </c>
      <c r="AO276" t="inlineStr">
        <is>
          <t>Not Started</t>
        </is>
      </c>
      <c r="AP276" t="inlineStr">
        <is>
          <t>Not Started</t>
        </is>
      </c>
      <c r="AR276" t="inlineStr">
        <is>
          <t>v0.3-2026-06-29</t>
        </is>
      </c>
      <c r="AT276" s="3" t="n"/>
    </row>
    <row r="277">
      <c r="A277" t="inlineStr">
        <is>
          <t>C-0356</t>
        </is>
      </c>
      <c r="B277" t="inlineStr">
        <is>
          <t>Variscite</t>
        </is>
      </c>
      <c r="D277" t="inlineStr">
        <is>
          <t>Phosphates</t>
        </is>
      </c>
      <c r="E277" t="inlineStr">
        <is>
          <t>Variscite</t>
        </is>
      </c>
      <c r="F277" t="n">
        <v>3</v>
      </c>
      <c r="G277" t="n">
        <v>27</v>
      </c>
      <c r="H277" t="n">
        <v>356</v>
      </c>
      <c r="I277" t="n">
        <v>356</v>
      </c>
      <c r="J277" t="inlineStr">
        <is>
          <t>Vanadinite</t>
        </is>
      </c>
      <c r="K277" t="inlineStr">
        <is>
          <t>vanadinite</t>
        </is>
      </c>
      <c r="L277" t="inlineStr">
        <is>
          <t>Vera Cruz Amethyst</t>
        </is>
      </c>
      <c r="M277" t="inlineStr">
        <is>
          <t>vera-cruz-amethyst</t>
        </is>
      </c>
      <c r="N277" t="b">
        <v>0</v>
      </c>
      <c r="O277" t="inlineStr">
        <is>
          <t>variscite</t>
        </is>
      </c>
      <c r="P277" t="inlineStr">
        <is>
          <t>Not Started</t>
        </is>
      </c>
      <c r="Q277" t="inlineStr">
        <is>
          <t>Heart</t>
        </is>
      </c>
      <c r="R277" t="inlineStr">
        <is>
          <t>Throat</t>
        </is>
      </c>
      <c r="S277" t="inlineStr">
        <is>
          <t>Heart</t>
        </is>
      </c>
      <c r="X277" t="inlineStr">
        <is>
          <t>Mineral</t>
        </is>
      </c>
      <c r="Z277" s="3" t="inlineStr">
        <is>
          <t>Quiet renewal</t>
        </is>
      </c>
      <c r="AA277" s="3" t="inlineStr">
        <is>
          <t>Use when stress has made you feel disconnected from your usual patience, values, or sense of inner balance.</t>
        </is>
      </c>
      <c r="AB277" s="3" t="n"/>
      <c r="AC277" t="inlineStr">
        <is>
          <t>Calm &amp; Peace</t>
        </is>
      </c>
      <c r="AD277" t="inlineStr">
        <is>
          <t>Heart Healing</t>
        </is>
      </c>
      <c r="AF277" t="inlineStr">
        <is>
          <t>["Calm","Renewal","Acceptance"]</t>
        </is>
      </c>
      <c r="AK277" t="b">
        <v>0</v>
      </c>
      <c r="AL277" t="inlineStr">
        <is>
          <t>Unreviewed</t>
        </is>
      </c>
      <c r="AM277" t="inlineStr">
        <is>
          <t>Not Started</t>
        </is>
      </c>
      <c r="AN277" t="inlineStr">
        <is>
          <t>Not Started</t>
        </is>
      </c>
      <c r="AO277" t="inlineStr">
        <is>
          <t>Not Started</t>
        </is>
      </c>
      <c r="AP277" t="inlineStr">
        <is>
          <t>Not Started</t>
        </is>
      </c>
      <c r="AR277" t="inlineStr">
        <is>
          <t>v0.3-2026-06-29</t>
        </is>
      </c>
      <c r="AT277" s="3" t="n"/>
    </row>
    <row r="278">
      <c r="A278" t="inlineStr">
        <is>
          <t>C-0357</t>
        </is>
      </c>
      <c r="B278" t="inlineStr">
        <is>
          <t>Vera Cruz Amethyst</t>
        </is>
      </c>
      <c r="D278" t="inlineStr">
        <is>
          <t>Quartz</t>
        </is>
      </c>
      <c r="E278" t="inlineStr">
        <is>
          <t>Quartz</t>
        </is>
      </c>
      <c r="F278" t="n">
        <v>3</v>
      </c>
      <c r="G278" t="n">
        <v>27</v>
      </c>
      <c r="H278" t="n">
        <v>357</v>
      </c>
      <c r="I278" t="n">
        <v>357</v>
      </c>
      <c r="J278" t="inlineStr">
        <is>
          <t>Variscite</t>
        </is>
      </c>
      <c r="K278" t="inlineStr">
        <is>
          <t>variscite</t>
        </is>
      </c>
      <c r="L278" t="inlineStr">
        <is>
          <t>Vesuvianite</t>
        </is>
      </c>
      <c r="M278" t="inlineStr">
        <is>
          <t>vesuvianite</t>
        </is>
      </c>
      <c r="N278" t="b">
        <v>0</v>
      </c>
      <c r="O278" t="inlineStr">
        <is>
          <t>vera-cruz-amethyst</t>
        </is>
      </c>
      <c r="P278" t="inlineStr">
        <is>
          <t>Not Started</t>
        </is>
      </c>
      <c r="Q278" t="inlineStr">
        <is>
          <t>Crown</t>
        </is>
      </c>
      <c r="R278" t="inlineStr">
        <is>
          <t>Third Eye</t>
        </is>
      </c>
      <c r="S278" t="inlineStr">
        <is>
          <t>Crown</t>
        </is>
      </c>
      <c r="X278" t="inlineStr">
        <is>
          <t>Mineral</t>
        </is>
      </c>
      <c r="Z278" s="3" t="inlineStr">
        <is>
          <t>Quiet attunement</t>
        </is>
      </c>
      <c r="AA278" s="3" t="inlineStr">
        <is>
          <t>Use when your mind feels too busy to hear your own intuition and you need a softer, quieter form of clarity.</t>
        </is>
      </c>
      <c r="AB278" s="3" t="n"/>
      <c r="AC278" t="inlineStr">
        <is>
          <t>Spiritual Connection</t>
        </is>
      </c>
      <c r="AD278" t="inlineStr">
        <is>
          <t>Clarity &amp; Focus</t>
        </is>
      </c>
      <c r="AF278" t="inlineStr">
        <is>
          <t>["Attunement","Clarity","Meditation"]</t>
        </is>
      </c>
      <c r="AK278" t="b">
        <v>0</v>
      </c>
      <c r="AL278" t="inlineStr">
        <is>
          <t>Unreviewed</t>
        </is>
      </c>
      <c r="AM278" t="inlineStr">
        <is>
          <t>Not Started</t>
        </is>
      </c>
      <c r="AN278" t="inlineStr">
        <is>
          <t>Not Started</t>
        </is>
      </c>
      <c r="AO278" t="inlineStr">
        <is>
          <t>Not Started</t>
        </is>
      </c>
      <c r="AP278" t="inlineStr">
        <is>
          <t>Not Started</t>
        </is>
      </c>
      <c r="AR278" t="inlineStr">
        <is>
          <t>v0.3-2026-06-29</t>
        </is>
      </c>
      <c r="AT278" s="3" t="n"/>
    </row>
    <row r="279">
      <c r="A279" t="inlineStr">
        <is>
          <t>C-0230</t>
        </is>
      </c>
      <c r="B279" t="inlineStr">
        <is>
          <t>Vesuvianite</t>
        </is>
      </c>
      <c r="C279" t="inlineStr">
        <is>
          <t>Idocrase</t>
        </is>
      </c>
      <c r="D279" t="inlineStr">
        <is>
          <t>Silicates</t>
        </is>
      </c>
      <c r="E279" t="inlineStr">
        <is>
          <t>Vesuvianite</t>
        </is>
      </c>
      <c r="F279" t="n">
        <v>3</v>
      </c>
      <c r="G279" t="n">
        <v>27</v>
      </c>
      <c r="H279" t="n">
        <v>230</v>
      </c>
      <c r="I279" t="n">
        <v>230</v>
      </c>
      <c r="J279" t="inlineStr">
        <is>
          <t>Vera Cruz Amethyst</t>
        </is>
      </c>
      <c r="K279" t="inlineStr">
        <is>
          <t>vera-cruz-amethyst</t>
        </is>
      </c>
      <c r="L279" t="inlineStr">
        <is>
          <t>Vivianite</t>
        </is>
      </c>
      <c r="M279" t="inlineStr">
        <is>
          <t>vivianite</t>
        </is>
      </c>
      <c r="N279" t="b">
        <v>0</v>
      </c>
      <c r="O279" t="inlineStr">
        <is>
          <t>vesuvianite</t>
        </is>
      </c>
      <c r="P279" t="inlineStr">
        <is>
          <t>Not Started</t>
        </is>
      </c>
      <c r="Q279" t="inlineStr">
        <is>
          <t>Heart</t>
        </is>
      </c>
      <c r="S279" t="inlineStr">
        <is>
          <t>Heart</t>
        </is>
      </c>
      <c r="X279" t="inlineStr">
        <is>
          <t>Mineral</t>
        </is>
      </c>
      <c r="Z279" s="3" t="inlineStr">
        <is>
          <t>Confident development</t>
        </is>
      </c>
      <c r="AA279" s="3" t="inlineStr">
        <is>
          <t>Use when you are capable of more but hesitation is keeping you in observation mode instead of active involvement.</t>
        </is>
      </c>
      <c r="AB279" s="3" t="n"/>
      <c r="AC279" t="inlineStr">
        <is>
          <t>Heart Healing</t>
        </is>
      </c>
      <c r="AD279" t="inlineStr">
        <is>
          <t>Confidence</t>
        </is>
      </c>
      <c r="AF279" t="inlineStr">
        <is>
          <t>["Growth","Confidence","Courage"]</t>
        </is>
      </c>
      <c r="AK279" t="b">
        <v>0</v>
      </c>
      <c r="AL279" t="inlineStr">
        <is>
          <t>Unreviewed</t>
        </is>
      </c>
      <c r="AM279" t="inlineStr">
        <is>
          <t>Not Started</t>
        </is>
      </c>
      <c r="AN279" t="inlineStr">
        <is>
          <t>Not Started</t>
        </is>
      </c>
      <c r="AO279" t="inlineStr">
        <is>
          <t>Not Started</t>
        </is>
      </c>
      <c r="AP279" t="inlineStr">
        <is>
          <t>Not Started</t>
        </is>
      </c>
      <c r="AR279" t="inlineStr">
        <is>
          <t>v0.3-2026-06-29</t>
        </is>
      </c>
      <c r="AT279" s="3" t="n"/>
    </row>
    <row r="280">
      <c r="A280" t="inlineStr">
        <is>
          <t>C-0358</t>
        </is>
      </c>
      <c r="B280" t="inlineStr">
        <is>
          <t>White Heulandite</t>
        </is>
      </c>
      <c r="D280" t="inlineStr">
        <is>
          <t>Silicates</t>
        </is>
      </c>
      <c r="E280" t="inlineStr">
        <is>
          <t>Heulandite</t>
        </is>
      </c>
      <c r="F280" t="n">
        <v>3</v>
      </c>
      <c r="G280" t="n">
        <v>28</v>
      </c>
      <c r="H280" t="n">
        <v>0</v>
      </c>
      <c r="I280" t="n">
        <v>0</v>
      </c>
      <c r="J280" t="inlineStr">
        <is>
          <t>White Dolomite</t>
        </is>
      </c>
      <c r="K280" t="inlineStr">
        <is>
          <t>white-dolomite</t>
        </is>
      </c>
      <c r="L280" t="inlineStr">
        <is>
          <t>White Kyanite</t>
        </is>
      </c>
      <c r="M280" t="inlineStr">
        <is>
          <t>white-kyanite</t>
        </is>
      </c>
      <c r="N280" t="b">
        <v>0</v>
      </c>
      <c r="O280" t="inlineStr">
        <is>
          <t>white-heulandite</t>
        </is>
      </c>
      <c r="P280" t="inlineStr">
        <is>
          <t>Not Started</t>
        </is>
      </c>
      <c r="Q280" t="inlineStr">
        <is>
          <t>Crown</t>
        </is>
      </c>
      <c r="R280" t="inlineStr">
        <is>
          <t>Third Eye</t>
        </is>
      </c>
      <c r="S280" t="inlineStr">
        <is>
          <t>Crown</t>
        </is>
      </c>
      <c r="X280" t="inlineStr">
        <is>
          <t>Mineral</t>
        </is>
      </c>
      <c r="Z280" s="3" t="inlineStr">
        <is>
          <t>Quiet clarity</t>
        </is>
      </c>
      <c r="AA280" s="3" t="inlineStr">
        <is>
          <t>Use when mental clutter is making it difficult to receive insight or recognize what already feels quietly true.</t>
        </is>
      </c>
      <c r="AB280" s="3" t="n"/>
      <c r="AC280" t="inlineStr">
        <is>
          <t>Spiritual Connection</t>
        </is>
      </c>
      <c r="AD280" t="inlineStr">
        <is>
          <t>Clarity &amp; Focus</t>
        </is>
      </c>
      <c r="AF280" t="inlineStr">
        <is>
          <t>["Clarity","Openness","Spirit"]</t>
        </is>
      </c>
      <c r="AK280" t="b">
        <v>0</v>
      </c>
      <c r="AL280" t="inlineStr">
        <is>
          <t>Unreviewed</t>
        </is>
      </c>
      <c r="AM280" t="inlineStr">
        <is>
          <t>Not Started</t>
        </is>
      </c>
      <c r="AN280" t="inlineStr">
        <is>
          <t>Not Started</t>
        </is>
      </c>
      <c r="AO280" t="inlineStr">
        <is>
          <t>Not Started</t>
        </is>
      </c>
      <c r="AP280" t="inlineStr">
        <is>
          <t>Not Started</t>
        </is>
      </c>
      <c r="AR280" t="inlineStr">
        <is>
          <t>v0.3-2026-06-29</t>
        </is>
      </c>
      <c r="AT280" s="3" t="n"/>
    </row>
    <row r="281">
      <c r="A281" t="inlineStr">
        <is>
          <t>C-0067</t>
        </is>
      </c>
      <c r="B281" t="inlineStr">
        <is>
          <t>White Kyanite</t>
        </is>
      </c>
      <c r="D281" t="inlineStr">
        <is>
          <t>Kyanite</t>
        </is>
      </c>
      <c r="E281" t="inlineStr">
        <is>
          <t>Kyanite</t>
        </is>
      </c>
      <c r="F281" t="n">
        <v>3</v>
      </c>
      <c r="G281" t="n">
        <v>28</v>
      </c>
      <c r="H281" t="n">
        <v>67</v>
      </c>
      <c r="I281" t="n">
        <v>67</v>
      </c>
      <c r="J281" t="inlineStr">
        <is>
          <t>White Heulandite</t>
        </is>
      </c>
      <c r="K281" t="inlineStr">
        <is>
          <t>white-heulandite</t>
        </is>
      </c>
      <c r="L281" t="inlineStr">
        <is>
          <t>White Opal</t>
        </is>
      </c>
      <c r="M281" t="inlineStr">
        <is>
          <t>white-opal</t>
        </is>
      </c>
      <c r="N281" t="b">
        <v>0</v>
      </c>
      <c r="O281" t="inlineStr">
        <is>
          <t>white-kyanite</t>
        </is>
      </c>
      <c r="P281" t="inlineStr">
        <is>
          <t>Not Started</t>
        </is>
      </c>
      <c r="Q281" t="inlineStr">
        <is>
          <t>Crown</t>
        </is>
      </c>
      <c r="S281" t="inlineStr">
        <is>
          <t>Crown</t>
        </is>
      </c>
      <c r="X281" t="inlineStr">
        <is>
          <t>Mineral</t>
        </is>
      </c>
      <c r="Z281" s="3" t="inlineStr">
        <is>
          <t>Spiritual clarity</t>
        </is>
      </c>
      <c r="AA281" s="3" t="inlineStr">
        <is>
          <t>Use when you want to reconnect with your spiritual practice after feeling distracted, disconnected, or mentally crowded.</t>
        </is>
      </c>
      <c r="AB281" s="3" t="n"/>
      <c r="AC281" t="inlineStr">
        <is>
          <t>Joy</t>
        </is>
      </c>
      <c r="AD281" t="inlineStr">
        <is>
          <t>Spiritual Connection</t>
        </is>
      </c>
      <c r="AF281" t="inlineStr">
        <is>
          <t>["Purification","Alignment","Spirit"]</t>
        </is>
      </c>
      <c r="AK281" t="b">
        <v>0</v>
      </c>
      <c r="AL281" t="inlineStr">
        <is>
          <t>Unreviewed</t>
        </is>
      </c>
      <c r="AM281" t="inlineStr">
        <is>
          <t>Not Started</t>
        </is>
      </c>
      <c r="AN281" t="inlineStr">
        <is>
          <t>Not Started</t>
        </is>
      </c>
      <c r="AO281" t="inlineStr">
        <is>
          <t>Not Started</t>
        </is>
      </c>
      <c r="AP281" t="inlineStr">
        <is>
          <t>Not Started</t>
        </is>
      </c>
      <c r="AR281" t="inlineStr">
        <is>
          <t>v0.3-2026-06-29</t>
        </is>
      </c>
      <c r="AT281" s="3" t="n"/>
    </row>
    <row r="282">
      <c r="A282" t="inlineStr">
        <is>
          <t>C-0359</t>
        </is>
      </c>
      <c r="B282" t="inlineStr">
        <is>
          <t>White Opal</t>
        </is>
      </c>
      <c r="D282" t="inlineStr">
        <is>
          <t>Opal</t>
        </is>
      </c>
      <c r="E282" t="inlineStr">
        <is>
          <t>Opal</t>
        </is>
      </c>
      <c r="F282" t="n">
        <v>3</v>
      </c>
      <c r="G282" t="n">
        <v>28</v>
      </c>
      <c r="H282" t="n">
        <v>359</v>
      </c>
      <c r="I282" t="n">
        <v>359</v>
      </c>
      <c r="J282" t="inlineStr">
        <is>
          <t>White Kyanite</t>
        </is>
      </c>
      <c r="K282" t="inlineStr">
        <is>
          <t>white-kyanite</t>
        </is>
      </c>
      <c r="L282" t="inlineStr">
        <is>
          <t>White Topaz</t>
        </is>
      </c>
      <c r="M282" t="inlineStr">
        <is>
          <t>white-topaz</t>
        </is>
      </c>
      <c r="N282" t="b">
        <v>0</v>
      </c>
      <c r="O282" t="inlineStr">
        <is>
          <t>white-opal</t>
        </is>
      </c>
      <c r="P282" t="inlineStr">
        <is>
          <t>Not Started</t>
        </is>
      </c>
      <c r="Q282" t="inlineStr">
        <is>
          <t>Crown</t>
        </is>
      </c>
      <c r="R282" t="inlineStr">
        <is>
          <t>Third Eye</t>
        </is>
      </c>
      <c r="S282" t="inlineStr">
        <is>
          <t>Crown</t>
        </is>
      </c>
      <c r="X282" t="inlineStr">
        <is>
          <t>Mineraloid</t>
        </is>
      </c>
      <c r="Z282" s="3" t="inlineStr">
        <is>
          <t>Quiet receptivity</t>
        </is>
      </c>
      <c r="AA282" s="3" t="inlineStr">
        <is>
          <t>Use when you need comfort and clarity but do not have the energy for intense processing or problem-solving.</t>
        </is>
      </c>
      <c r="AB282" s="3" t="n"/>
      <c r="AC282" t="inlineStr">
        <is>
          <t>Intuition</t>
        </is>
      </c>
      <c r="AD282" t="inlineStr">
        <is>
          <t>Emotional Balance</t>
        </is>
      </c>
      <c r="AF282" t="inlineStr">
        <is>
          <t>["Peace","Intuition","Openness"]</t>
        </is>
      </c>
      <c r="AK282" t="b">
        <v>0</v>
      </c>
      <c r="AL282" t="inlineStr">
        <is>
          <t>Unreviewed</t>
        </is>
      </c>
      <c r="AM282" t="inlineStr">
        <is>
          <t>Not Started</t>
        </is>
      </c>
      <c r="AN282" t="inlineStr">
        <is>
          <t>Not Started</t>
        </is>
      </c>
      <c r="AO282" t="inlineStr">
        <is>
          <t>Not Started</t>
        </is>
      </c>
      <c r="AP282" t="inlineStr">
        <is>
          <t>Not Started</t>
        </is>
      </c>
      <c r="AR282" t="inlineStr">
        <is>
          <t>v0.3-2026-06-29</t>
        </is>
      </c>
      <c r="AT282" s="3" t="n"/>
    </row>
    <row r="283">
      <c r="A283" t="inlineStr">
        <is>
          <t>C-0360</t>
        </is>
      </c>
      <c r="B283" t="inlineStr">
        <is>
          <t>White Topaz</t>
        </is>
      </c>
      <c r="D283" t="inlineStr">
        <is>
          <t>Silicates</t>
        </is>
      </c>
      <c r="E283" t="inlineStr">
        <is>
          <t>Topaz</t>
        </is>
      </c>
      <c r="F283" t="n">
        <v>3</v>
      </c>
      <c r="G283" t="n">
        <v>28</v>
      </c>
      <c r="H283" t="n">
        <v>0</v>
      </c>
      <c r="I283" t="n">
        <v>0</v>
      </c>
      <c r="J283" t="inlineStr">
        <is>
          <t>White Opal</t>
        </is>
      </c>
      <c r="K283" t="inlineStr">
        <is>
          <t>white-opal</t>
        </is>
      </c>
      <c r="L283" t="inlineStr">
        <is>
          <t>Wulfenite</t>
        </is>
      </c>
      <c r="M283" t="inlineStr">
        <is>
          <t>wulfenite</t>
        </is>
      </c>
      <c r="N283" t="b">
        <v>0</v>
      </c>
      <c r="O283" t="inlineStr">
        <is>
          <t>white-topaz</t>
        </is>
      </c>
      <c r="P283" t="inlineStr">
        <is>
          <t>Not Started</t>
        </is>
      </c>
      <c r="Q283" t="inlineStr">
        <is>
          <t>Crown</t>
        </is>
      </c>
      <c r="R283" t="inlineStr">
        <is>
          <t>Third Eye</t>
        </is>
      </c>
      <c r="S283" t="inlineStr">
        <is>
          <t>Crown</t>
        </is>
      </c>
      <c r="X283" t="inlineStr">
        <is>
          <t>Mineral</t>
        </is>
      </c>
      <c r="Z283" s="3" t="inlineStr">
        <is>
          <t>Precise clarity</t>
        </is>
      </c>
      <c r="AA283" s="3" t="inlineStr">
        <is>
          <t>Use when a decision requires you to separate what you genuinely want from what merely looks impressive or expected.</t>
        </is>
      </c>
      <c r="AB283" s="3" t="n"/>
      <c r="AC283" t="inlineStr">
        <is>
          <t>Clarity &amp; Focus</t>
        </is>
      </c>
      <c r="AD283" t="inlineStr">
        <is>
          <t>Spiritual Connection</t>
        </is>
      </c>
      <c r="AF283" t="inlineStr">
        <is>
          <t>["Clarity","Truth","Focus"]</t>
        </is>
      </c>
      <c r="AK283" t="b">
        <v>0</v>
      </c>
      <c r="AL283" t="inlineStr">
        <is>
          <t>Unreviewed</t>
        </is>
      </c>
      <c r="AM283" t="inlineStr">
        <is>
          <t>Not Started</t>
        </is>
      </c>
      <c r="AN283" t="inlineStr">
        <is>
          <t>Not Started</t>
        </is>
      </c>
      <c r="AO283" t="inlineStr">
        <is>
          <t>Not Started</t>
        </is>
      </c>
      <c r="AP283" t="inlineStr">
        <is>
          <t>Not Started</t>
        </is>
      </c>
      <c r="AR283" t="inlineStr">
        <is>
          <t>v0.3-2026-06-29</t>
        </is>
      </c>
      <c r="AT283" s="3" t="n"/>
    </row>
    <row r="284">
      <c r="A284" t="inlineStr">
        <is>
          <t>C-0046</t>
        </is>
      </c>
      <c r="B284" t="inlineStr">
        <is>
          <t>Yellow Apatite</t>
        </is>
      </c>
      <c r="D284" t="inlineStr">
        <is>
          <t>Apatite</t>
        </is>
      </c>
      <c r="E284" t="inlineStr">
        <is>
          <t>Apatite</t>
        </is>
      </c>
      <c r="F284" t="n">
        <v>3</v>
      </c>
      <c r="G284" t="n">
        <v>28</v>
      </c>
      <c r="H284" t="n">
        <v>46</v>
      </c>
      <c r="I284" t="n">
        <v>46</v>
      </c>
      <c r="J284" t="inlineStr">
        <is>
          <t>Wulfenite</t>
        </is>
      </c>
      <c r="K284" t="inlineStr">
        <is>
          <t>wulfenite</t>
        </is>
      </c>
      <c r="L284" t="inlineStr">
        <is>
          <t>Yellow Fluorite</t>
        </is>
      </c>
      <c r="M284" t="inlineStr">
        <is>
          <t>yellow-fluorite</t>
        </is>
      </c>
      <c r="N284" t="b">
        <v>0</v>
      </c>
      <c r="O284" t="inlineStr">
        <is>
          <t>yellow-apatite</t>
        </is>
      </c>
      <c r="P284" t="inlineStr">
        <is>
          <t>Not Started</t>
        </is>
      </c>
      <c r="Q284" t="inlineStr">
        <is>
          <t>Solar Plexus</t>
        </is>
      </c>
      <c r="R284" t="inlineStr">
        <is>
          <t>Sacral</t>
        </is>
      </c>
      <c r="S284" t="inlineStr">
        <is>
          <t>Solar Plexus</t>
        </is>
      </c>
      <c r="X284" t="inlineStr">
        <is>
          <t>Mineral</t>
        </is>
      </c>
      <c r="Z284" s="3" t="inlineStr">
        <is>
          <t>Focused confidence</t>
        </is>
      </c>
      <c r="AA284" s="3" t="inlineStr">
        <is>
          <t>Use when you are interested in too many directions and need to choose one subject or goal to pursue more deeply.</t>
        </is>
      </c>
      <c r="AB284" s="3" t="n"/>
      <c r="AC284" t="inlineStr">
        <is>
          <t>Protection</t>
        </is>
      </c>
      <c r="AD284" t="inlineStr">
        <is>
          <t>Confidence</t>
        </is>
      </c>
      <c r="AF284" t="inlineStr">
        <is>
          <t>["Focus","Confidence","Purpose"]</t>
        </is>
      </c>
      <c r="AK284" t="b">
        <v>0</v>
      </c>
      <c r="AL284" t="inlineStr">
        <is>
          <t>Unreviewed</t>
        </is>
      </c>
      <c r="AM284" t="inlineStr">
        <is>
          <t>Not Started</t>
        </is>
      </c>
      <c r="AN284" t="inlineStr">
        <is>
          <t>Not Started</t>
        </is>
      </c>
      <c r="AO284" t="inlineStr">
        <is>
          <t>Not Started</t>
        </is>
      </c>
      <c r="AP284" t="inlineStr">
        <is>
          <t>Not Started</t>
        </is>
      </c>
      <c r="AR284" t="inlineStr">
        <is>
          <t>v0.3-2026-06-29</t>
        </is>
      </c>
      <c r="AT284" s="3" t="n"/>
    </row>
    <row r="285">
      <c r="A285" t="inlineStr">
        <is>
          <t>C-0362</t>
        </is>
      </c>
      <c r="B285" t="inlineStr">
        <is>
          <t>Zincite</t>
        </is>
      </c>
      <c r="D285" t="inlineStr">
        <is>
          <t>Oxides</t>
        </is>
      </c>
      <c r="E285" t="inlineStr">
        <is>
          <t>Zincite</t>
        </is>
      </c>
      <c r="F285" t="n">
        <v>3</v>
      </c>
      <c r="G285" t="n">
        <v>28</v>
      </c>
      <c r="H285" t="n">
        <v>0</v>
      </c>
      <c r="I285" t="n">
        <v>0</v>
      </c>
      <c r="J285" t="inlineStr">
        <is>
          <t>Zebra Jasper</t>
        </is>
      </c>
      <c r="K285" t="inlineStr">
        <is>
          <t>zebra-jasper</t>
        </is>
      </c>
      <c r="L285" t="inlineStr">
        <is>
          <t>Zircon</t>
        </is>
      </c>
      <c r="M285" t="inlineStr">
        <is>
          <t>zircon</t>
        </is>
      </c>
      <c r="N285" t="b">
        <v>0</v>
      </c>
      <c r="O285" t="inlineStr">
        <is>
          <t>zincite</t>
        </is>
      </c>
      <c r="P285" t="inlineStr">
        <is>
          <t>Not Started</t>
        </is>
      </c>
      <c r="Q285" t="inlineStr">
        <is>
          <t>Sacral</t>
        </is>
      </c>
      <c r="R285" t="inlineStr">
        <is>
          <t>Root</t>
        </is>
      </c>
      <c r="S285" t="inlineStr">
        <is>
          <t>Sacral</t>
        </is>
      </c>
      <c r="X285" t="inlineStr">
        <is>
          <t>Mineral</t>
        </is>
      </c>
      <c r="Z285" s="3" t="inlineStr">
        <is>
          <t>Constructive change</t>
        </is>
      </c>
      <c r="AA285" s="3" t="inlineStr">
        <is>
          <t>Use when frustration is creating strong momentum and you want to direct it toward improvement rather than impulsive reaction.</t>
        </is>
      </c>
      <c r="AB285" s="3" t="n"/>
      <c r="AC285" t="inlineStr">
        <is>
          <t>Vitality</t>
        </is>
      </c>
      <c r="AD285" t="inlineStr">
        <is>
          <t>Confidence</t>
        </is>
      </c>
      <c r="AF285" t="inlineStr">
        <is>
          <t>["Transformation","Motivation","Vitality"]</t>
        </is>
      </c>
      <c r="AK285" t="b">
        <v>0</v>
      </c>
      <c r="AL285" t="inlineStr">
        <is>
          <t>Unreviewed</t>
        </is>
      </c>
      <c r="AM285" t="inlineStr">
        <is>
          <t>Not Started</t>
        </is>
      </c>
      <c r="AN285" t="inlineStr">
        <is>
          <t>Not Started</t>
        </is>
      </c>
      <c r="AO285" t="inlineStr">
        <is>
          <t>Not Started</t>
        </is>
      </c>
      <c r="AP285" t="inlineStr">
        <is>
          <t>Not Started</t>
        </is>
      </c>
      <c r="AR285" t="inlineStr">
        <is>
          <t>v0.3-2026-06-29</t>
        </is>
      </c>
      <c r="AT285" s="3" t="n"/>
    </row>
    <row r="286">
      <c r="A286" t="inlineStr">
        <is>
          <t>C-0233</t>
        </is>
      </c>
      <c r="B286" t="inlineStr">
        <is>
          <t>Zircon</t>
        </is>
      </c>
      <c r="D286" t="inlineStr">
        <is>
          <t>Silicates</t>
        </is>
      </c>
      <c r="E286" t="inlineStr">
        <is>
          <t>Zircon</t>
        </is>
      </c>
      <c r="F286" t="n">
        <v>3</v>
      </c>
      <c r="G286" t="n">
        <v>28</v>
      </c>
      <c r="H286" t="n">
        <v>233</v>
      </c>
      <c r="I286" t="n">
        <v>233</v>
      </c>
      <c r="J286" t="inlineStr">
        <is>
          <t>Zincite</t>
        </is>
      </c>
      <c r="K286" t="inlineStr">
        <is>
          <t>zincite</t>
        </is>
      </c>
      <c r="N286" t="b">
        <v>0</v>
      </c>
      <c r="O286" t="inlineStr">
        <is>
          <t>zircon</t>
        </is>
      </c>
      <c r="P286" t="inlineStr">
        <is>
          <t>Not Started</t>
        </is>
      </c>
      <c r="Q286" t="inlineStr">
        <is>
          <t>Root</t>
        </is>
      </c>
      <c r="R286" t="inlineStr">
        <is>
          <t>Crown</t>
        </is>
      </c>
      <c r="S286" t="inlineStr">
        <is>
          <t>Root</t>
        </is>
      </c>
      <c r="X286" t="inlineStr">
        <is>
          <t>Mineral</t>
        </is>
      </c>
      <c r="Z286" s="3" t="inlineStr">
        <is>
          <t>Enduring wisdom</t>
        </is>
      </c>
      <c r="AA286" s="3" t="inlineStr">
        <is>
          <t>Use when change is challenging your identity and you need to remember which qualities remain essential to who you are.</t>
        </is>
      </c>
      <c r="AB286" s="3" t="n"/>
      <c r="AC286" t="inlineStr">
        <is>
          <t>Clarity &amp; Focus</t>
        </is>
      </c>
      <c r="AD286" t="inlineStr">
        <is>
          <t>Grounding</t>
        </is>
      </c>
      <c r="AE286" t="inlineStr">
        <is>
          <t>Spiritual Connection</t>
        </is>
      </c>
      <c r="AF286" t="inlineStr">
        <is>
          <t>["Wisdom","Integrity","Grounding"]</t>
        </is>
      </c>
      <c r="AK286" t="b">
        <v>0</v>
      </c>
      <c r="AL286" t="inlineStr">
        <is>
          <t>Unreviewed</t>
        </is>
      </c>
      <c r="AM286" t="inlineStr">
        <is>
          <t>Not Started</t>
        </is>
      </c>
      <c r="AN286" t="inlineStr">
        <is>
          <t>Not Started</t>
        </is>
      </c>
      <c r="AO286" t="inlineStr">
        <is>
          <t>Not Started</t>
        </is>
      </c>
      <c r="AP286" t="inlineStr">
        <is>
          <t>Not Started</t>
        </is>
      </c>
      <c r="AR286" t="inlineStr">
        <is>
          <t>v0.3-2026-06-29</t>
        </is>
      </c>
      <c r="AT286" s="3" t="n"/>
    </row>
    <row r="287">
      <c r="A287" t="inlineStr">
        <is>
          <t>C-0404</t>
        </is>
      </c>
      <c r="B287" t="inlineStr">
        <is>
          <t>Goshenite</t>
        </is>
      </c>
      <c r="C287" t="inlineStr">
        <is>
          <t>Colorless Beryl</t>
        </is>
      </c>
      <c r="D287" t="inlineStr">
        <is>
          <t>Beryl</t>
        </is>
      </c>
      <c r="E287" t="inlineStr">
        <is>
          <t>Beryl</t>
        </is>
      </c>
      <c r="F287" t="n">
        <v>4</v>
      </c>
      <c r="G287" t="n">
        <v>30</v>
      </c>
      <c r="H287" t="n">
        <v>0</v>
      </c>
      <c r="I287" t="n">
        <v>0</v>
      </c>
      <c r="J287" t="inlineStr">
        <is>
          <t>Goldstone</t>
        </is>
      </c>
      <c r="K287" t="inlineStr">
        <is>
          <t>goldstone</t>
        </is>
      </c>
      <c r="L287" t="inlineStr">
        <is>
          <t>Grape Agate</t>
        </is>
      </c>
      <c r="M287" t="inlineStr">
        <is>
          <t>grape-agate</t>
        </is>
      </c>
      <c r="N287" t="b">
        <v>0</v>
      </c>
      <c r="O287" t="inlineStr">
        <is>
          <t>goshenite</t>
        </is>
      </c>
      <c r="P287" t="inlineStr">
        <is>
          <t>Not Started</t>
        </is>
      </c>
      <c r="Q287" t="inlineStr">
        <is>
          <t>Crown</t>
        </is>
      </c>
      <c r="S287" t="inlineStr">
        <is>
          <t>Crown</t>
        </is>
      </c>
      <c r="X287" t="inlineStr">
        <is>
          <t>Mineral</t>
        </is>
      </c>
      <c r="Z287" s="3" t="inlineStr">
        <is>
          <t>Seeing situations clearly and separating signal from noise</t>
        </is>
      </c>
      <c r="AA287" s="3" t="inlineStr">
        <is>
          <t>Use when you need to identify what matters, set aside distraction, and make an honest decision.</t>
        </is>
      </c>
      <c r="AB287" s="3" t="n"/>
      <c r="AF287" t="inlineStr">
        <is>
          <t>["Clarity","Truth","Discernment"]</t>
        </is>
      </c>
      <c r="AK287" t="b">
        <v>0</v>
      </c>
      <c r="AL287" t="inlineStr">
        <is>
          <t>Unreviewed</t>
        </is>
      </c>
      <c r="AM287" t="inlineStr">
        <is>
          <t>Not Started</t>
        </is>
      </c>
      <c r="AN287" t="inlineStr">
        <is>
          <t>Not Started</t>
        </is>
      </c>
      <c r="AO287" t="inlineStr">
        <is>
          <t>Not Started</t>
        </is>
      </c>
      <c r="AP287" t="inlineStr">
        <is>
          <t>Not Started</t>
        </is>
      </c>
      <c r="AR287" t="inlineStr">
        <is>
          <t>v0.3-2026-06-29</t>
        </is>
      </c>
      <c r="AT287" s="3" t="n"/>
    </row>
    <row r="288">
      <c r="A288" t="inlineStr">
        <is>
          <t>C-0269</t>
        </is>
      </c>
      <c r="B288" t="inlineStr">
        <is>
          <t>Adamite</t>
        </is>
      </c>
      <c r="D288" t="inlineStr">
        <is>
          <t>Phosphates</t>
        </is>
      </c>
      <c r="E288" t="inlineStr">
        <is>
          <t>Adamite</t>
        </is>
      </c>
      <c r="F288" t="n">
        <v>4</v>
      </c>
      <c r="G288" t="n">
        <v>29</v>
      </c>
      <c r="H288" t="n">
        <v>0</v>
      </c>
      <c r="I288" t="n">
        <v>0</v>
      </c>
      <c r="L288" t="inlineStr">
        <is>
          <t>Aegirine</t>
        </is>
      </c>
      <c r="M288" t="inlineStr">
        <is>
          <t>aegirine</t>
        </is>
      </c>
      <c r="N288" t="b">
        <v>0</v>
      </c>
      <c r="O288" t="inlineStr">
        <is>
          <t>adamite</t>
        </is>
      </c>
      <c r="P288" t="inlineStr">
        <is>
          <t>Not Started</t>
        </is>
      </c>
      <c r="Q288" t="inlineStr">
        <is>
          <t>Solar Plexus</t>
        </is>
      </c>
      <c r="R288" t="inlineStr">
        <is>
          <t>Heart</t>
        </is>
      </c>
      <c r="S288" t="inlineStr">
        <is>
          <t>Solar Plexus</t>
        </is>
      </c>
      <c r="X288" t="inlineStr">
        <is>
          <t>Mineral</t>
        </is>
      </c>
      <c r="Z288" s="3" t="inlineStr">
        <is>
          <t>Rekindling enthusiasm</t>
        </is>
      </c>
      <c r="AA288" s="3" t="inlineStr">
        <is>
          <t>Use when you… feel emotionally flat and need to reconnect with something that genuinely excites or inspires you.</t>
        </is>
      </c>
      <c r="AB288" s="3" t="n"/>
      <c r="AC288" t="inlineStr">
        <is>
          <t>Joy</t>
        </is>
      </c>
      <c r="AD288" t="inlineStr">
        <is>
          <t>Manifestation</t>
        </is>
      </c>
      <c r="AF288" t="inlineStr">
        <is>
          <t>["Joy","Creativity","Motivation"]</t>
        </is>
      </c>
      <c r="AK288" t="b">
        <v>0</v>
      </c>
      <c r="AL288" t="inlineStr">
        <is>
          <t>Unreviewed</t>
        </is>
      </c>
      <c r="AM288" t="inlineStr">
        <is>
          <t>Not Started</t>
        </is>
      </c>
      <c r="AN288" t="inlineStr">
        <is>
          <t>Not Started</t>
        </is>
      </c>
      <c r="AO288" t="inlineStr">
        <is>
          <t>Not Started</t>
        </is>
      </c>
      <c r="AP288" t="inlineStr">
        <is>
          <t>Not Started</t>
        </is>
      </c>
      <c r="AR288" t="inlineStr">
        <is>
          <t>v0.3-2026-06-29</t>
        </is>
      </c>
      <c r="AT288" s="3" t="n"/>
    </row>
    <row r="289">
      <c r="A289" t="inlineStr">
        <is>
          <t>C-0271</t>
        </is>
      </c>
      <c r="B289" t="inlineStr">
        <is>
          <t>Ajoite</t>
        </is>
      </c>
      <c r="D289" t="inlineStr">
        <is>
          <t>Silicates</t>
        </is>
      </c>
      <c r="E289" t="inlineStr">
        <is>
          <t>Ajoite</t>
        </is>
      </c>
      <c r="F289" t="n">
        <v>4</v>
      </c>
      <c r="G289" t="n">
        <v>29</v>
      </c>
      <c r="H289" t="n">
        <v>0</v>
      </c>
      <c r="I289" t="n">
        <v>0</v>
      </c>
      <c r="J289" t="inlineStr">
        <is>
          <t>Aegirine</t>
        </is>
      </c>
      <c r="K289" t="inlineStr">
        <is>
          <t>aegirine</t>
        </is>
      </c>
      <c r="L289" t="inlineStr">
        <is>
          <t>Alexandrite</t>
        </is>
      </c>
      <c r="M289" t="inlineStr">
        <is>
          <t>alexandrite</t>
        </is>
      </c>
      <c r="N289" t="b">
        <v>0</v>
      </c>
      <c r="O289" t="inlineStr">
        <is>
          <t>ajoite</t>
        </is>
      </c>
      <c r="P289" t="inlineStr">
        <is>
          <t>Not Started</t>
        </is>
      </c>
      <c r="Q289" t="inlineStr">
        <is>
          <t>Heart</t>
        </is>
      </c>
      <c r="R289" t="inlineStr">
        <is>
          <t>Throat</t>
        </is>
      </c>
      <c r="S289" t="inlineStr">
        <is>
          <t>Heart</t>
        </is>
      </c>
      <c r="X289" t="inlineStr">
        <is>
          <t>Mineral</t>
        </is>
      </c>
      <c r="Z289" s="3" t="inlineStr">
        <is>
          <t>Softening emotional pain</t>
        </is>
      </c>
      <c r="AA289" s="3" t="inlineStr">
        <is>
          <t>Use when you… are carrying old hurt and want to meet it with tenderness rather than resistance.</t>
        </is>
      </c>
      <c r="AB289" s="3" t="n"/>
      <c r="AC289" t="inlineStr">
        <is>
          <t>Heart Healing</t>
        </is>
      </c>
      <c r="AD289" t="inlineStr">
        <is>
          <t>Calm &amp; Peace</t>
        </is>
      </c>
      <c r="AF289" t="inlineStr">
        <is>
          <t>["Compassion","Healing","Peace"]</t>
        </is>
      </c>
      <c r="AK289" t="b">
        <v>0</v>
      </c>
      <c r="AL289" t="inlineStr">
        <is>
          <t>Unreviewed</t>
        </is>
      </c>
      <c r="AM289" t="inlineStr">
        <is>
          <t>Not Started</t>
        </is>
      </c>
      <c r="AN289" t="inlineStr">
        <is>
          <t>Not Started</t>
        </is>
      </c>
      <c r="AO289" t="inlineStr">
        <is>
          <t>Not Started</t>
        </is>
      </c>
      <c r="AP289" t="inlineStr">
        <is>
          <t>Not Started</t>
        </is>
      </c>
      <c r="AR289" t="inlineStr">
        <is>
          <t>v0.3-2026-06-29</t>
        </is>
      </c>
      <c r="AT289" s="3" t="n"/>
    </row>
    <row r="290">
      <c r="A290" t="inlineStr">
        <is>
          <t>C-0144</t>
        </is>
      </c>
      <c r="B290" t="inlineStr">
        <is>
          <t>Alexandrite</t>
        </is>
      </c>
      <c r="D290" t="inlineStr">
        <is>
          <t>Oxides</t>
        </is>
      </c>
      <c r="E290" t="inlineStr">
        <is>
          <t>Chrysoberyl</t>
        </is>
      </c>
      <c r="F290" t="n">
        <v>4</v>
      </c>
      <c r="G290" t="n">
        <v>29</v>
      </c>
      <c r="H290" t="n">
        <v>144</v>
      </c>
      <c r="I290" t="n">
        <v>144</v>
      </c>
      <c r="J290" t="inlineStr">
        <is>
          <t>Ajoite</t>
        </is>
      </c>
      <c r="K290" t="inlineStr">
        <is>
          <t>ajoite</t>
        </is>
      </c>
      <c r="L290" t="inlineStr">
        <is>
          <t>Amazonite</t>
        </is>
      </c>
      <c r="M290" t="inlineStr">
        <is>
          <t>amazonite</t>
        </is>
      </c>
      <c r="N290" t="b">
        <v>0</v>
      </c>
      <c r="O290" t="inlineStr">
        <is>
          <t>alexandrite</t>
        </is>
      </c>
      <c r="P290" t="inlineStr">
        <is>
          <t>Not Started</t>
        </is>
      </c>
      <c r="Q290" t="inlineStr">
        <is>
          <t>Heart</t>
        </is>
      </c>
      <c r="R290" t="inlineStr">
        <is>
          <t>Crown</t>
        </is>
      </c>
      <c r="S290" t="inlineStr">
        <is>
          <t>Heart</t>
        </is>
      </c>
      <c r="X290" t="inlineStr">
        <is>
          <t>Mineral</t>
        </is>
      </c>
      <c r="Z290" s="3" t="inlineStr">
        <is>
          <t>Navigating major change</t>
        </is>
      </c>
      <c r="AA290" s="3" t="inlineStr">
        <is>
          <t>Use when you… are adjusting to a new chapter and need help holding both uncertainty and possibility at once.</t>
        </is>
      </c>
      <c r="AB290" s="3" t="n"/>
      <c r="AC290" t="inlineStr">
        <is>
          <t>Grounding</t>
        </is>
      </c>
      <c r="AD290" t="inlineStr">
        <is>
          <t>Communication</t>
        </is>
      </c>
      <c r="AF290" t="inlineStr">
        <is>
          <t>["Adaptability","Renewal","Balance"]</t>
        </is>
      </c>
      <c r="AK290" t="b">
        <v>0</v>
      </c>
      <c r="AL290" t="inlineStr">
        <is>
          <t>Unreviewed</t>
        </is>
      </c>
      <c r="AM290" t="inlineStr">
        <is>
          <t>Not Started</t>
        </is>
      </c>
      <c r="AN290" t="inlineStr">
        <is>
          <t>Not Started</t>
        </is>
      </c>
      <c r="AO290" t="inlineStr">
        <is>
          <t>Not Started</t>
        </is>
      </c>
      <c r="AP290" t="inlineStr">
        <is>
          <t>Not Started</t>
        </is>
      </c>
      <c r="AR290" t="inlineStr">
        <is>
          <t>v0.3-2026-06-29</t>
        </is>
      </c>
      <c r="AT290" s="3" t="n"/>
    </row>
    <row r="291">
      <c r="A291" t="inlineStr">
        <is>
          <t>C-0273</t>
        </is>
      </c>
      <c r="B291" t="inlineStr">
        <is>
          <t>Amblygonite</t>
        </is>
      </c>
      <c r="D291" t="inlineStr">
        <is>
          <t>Phosphates</t>
        </is>
      </c>
      <c r="E291" t="inlineStr">
        <is>
          <t>Amblygonite</t>
        </is>
      </c>
      <c r="F291" t="n">
        <v>4</v>
      </c>
      <c r="G291" t="n">
        <v>29</v>
      </c>
      <c r="H291" t="n">
        <v>0</v>
      </c>
      <c r="I291" t="n">
        <v>0</v>
      </c>
      <c r="J291" t="inlineStr">
        <is>
          <t>Amber</t>
        </is>
      </c>
      <c r="K291" t="inlineStr">
        <is>
          <t>amber</t>
        </is>
      </c>
      <c r="L291" t="inlineStr">
        <is>
          <t>Amegreen</t>
        </is>
      </c>
      <c r="M291" t="inlineStr">
        <is>
          <t>amegreen</t>
        </is>
      </c>
      <c r="N291" t="b">
        <v>0</v>
      </c>
      <c r="O291" t="inlineStr">
        <is>
          <t>amblygonite</t>
        </is>
      </c>
      <c r="P291" t="inlineStr">
        <is>
          <t>Not Started</t>
        </is>
      </c>
      <c r="Q291" t="inlineStr">
        <is>
          <t>Solar Plexus</t>
        </is>
      </c>
      <c r="R291" t="inlineStr">
        <is>
          <t>Third Eye</t>
        </is>
      </c>
      <c r="S291" t="inlineStr">
        <is>
          <t>Solar Plexus</t>
        </is>
      </c>
      <c r="X291" t="inlineStr">
        <is>
          <t>Mineral</t>
        </is>
      </c>
      <c r="Z291" s="3" t="inlineStr">
        <is>
          <t>Reducing self-imposed pressure</t>
        </is>
      </c>
      <c r="AA291" s="3" t="inlineStr">
        <is>
          <t>Use when you… are demanding perfection from yourself and turning a manageable task into an emotional burden.</t>
        </is>
      </c>
      <c r="AB291" s="3" t="n"/>
      <c r="AC291" t="inlineStr">
        <is>
          <t>Calm &amp; Peace</t>
        </is>
      </c>
      <c r="AD291" t="inlineStr">
        <is>
          <t>Emotional Balance</t>
        </is>
      </c>
      <c r="AF291" t="inlineStr">
        <is>
          <t>["Calm","Release","Acceptance"]</t>
        </is>
      </c>
      <c r="AK291" t="b">
        <v>0</v>
      </c>
      <c r="AL291" t="inlineStr">
        <is>
          <t>Unreviewed</t>
        </is>
      </c>
      <c r="AM291" t="inlineStr">
        <is>
          <t>Not Started</t>
        </is>
      </c>
      <c r="AN291" t="inlineStr">
        <is>
          <t>Not Started</t>
        </is>
      </c>
      <c r="AO291" t="inlineStr">
        <is>
          <t>Not Started</t>
        </is>
      </c>
      <c r="AP291" t="inlineStr">
        <is>
          <t>Not Started</t>
        </is>
      </c>
      <c r="AR291" t="inlineStr">
        <is>
          <t>v0.3-2026-06-29</t>
        </is>
      </c>
      <c r="AT291" s="3" t="n"/>
    </row>
    <row r="292">
      <c r="A292" t="inlineStr">
        <is>
          <t>C-0146</t>
        </is>
      </c>
      <c r="B292" t="inlineStr">
        <is>
          <t>Ammolite</t>
        </is>
      </c>
      <c r="D292" t="inlineStr">
        <is>
          <t>Fossil Material</t>
        </is>
      </c>
      <c r="E292" t="inlineStr">
        <is>
          <t>Ammolite</t>
        </is>
      </c>
      <c r="F292" t="n">
        <v>4</v>
      </c>
      <c r="G292" t="n">
        <v>29</v>
      </c>
      <c r="H292" t="n">
        <v>146</v>
      </c>
      <c r="I292" t="n">
        <v>146</v>
      </c>
      <c r="J292" t="inlineStr">
        <is>
          <t>Ametrine</t>
        </is>
      </c>
      <c r="K292" t="inlineStr">
        <is>
          <t>ametrine</t>
        </is>
      </c>
      <c r="L292" t="inlineStr">
        <is>
          <t>Ammonite</t>
        </is>
      </c>
      <c r="M292" t="inlineStr">
        <is>
          <t>ammonite</t>
        </is>
      </c>
      <c r="N292" t="b">
        <v>0</v>
      </c>
      <c r="O292" t="inlineStr">
        <is>
          <t>ammolite</t>
        </is>
      </c>
      <c r="P292" t="inlineStr">
        <is>
          <t>Not Started</t>
        </is>
      </c>
      <c r="Q292" t="inlineStr">
        <is>
          <t>Solar Plexus</t>
        </is>
      </c>
      <c r="R292" t="inlineStr">
        <is>
          <t>Root</t>
        </is>
      </c>
      <c r="S292" t="inlineStr">
        <is>
          <t>Solar Plexus</t>
        </is>
      </c>
      <c r="X292" t="inlineStr">
        <is>
          <t>Fossil</t>
        </is>
      </c>
      <c r="Z292" s="3" t="inlineStr">
        <is>
          <t>Growing through change</t>
        </is>
      </c>
      <c r="AA292" s="3" t="inlineStr">
        <is>
          <t>Use when you… are entering unfamiliar territory and want to approach the transition with curiosity rather than apprehension.</t>
        </is>
      </c>
      <c r="AB292" s="3" t="n"/>
      <c r="AC292" t="inlineStr">
        <is>
          <t>Protection</t>
        </is>
      </c>
      <c r="AD292" t="inlineStr">
        <is>
          <t>Vitality</t>
        </is>
      </c>
      <c r="AF292" t="inlineStr">
        <is>
          <t>["Transformation","Vitality","Abundance"]</t>
        </is>
      </c>
      <c r="AK292" t="b">
        <v>0</v>
      </c>
      <c r="AL292" t="inlineStr">
        <is>
          <t>Unreviewed</t>
        </is>
      </c>
      <c r="AM292" t="inlineStr">
        <is>
          <t>Not Started</t>
        </is>
      </c>
      <c r="AN292" t="inlineStr">
        <is>
          <t>Not Started</t>
        </is>
      </c>
      <c r="AO292" t="inlineStr">
        <is>
          <t>Not Started</t>
        </is>
      </c>
      <c r="AP292" t="inlineStr">
        <is>
          <t>Not Started</t>
        </is>
      </c>
      <c r="AR292" t="inlineStr">
        <is>
          <t>v0.3-2026-06-29</t>
        </is>
      </c>
      <c r="AT292" s="3" t="n"/>
    </row>
    <row r="293">
      <c r="A293" t="inlineStr">
        <is>
          <t>C-0275</t>
        </is>
      </c>
      <c r="B293" t="inlineStr">
        <is>
          <t>Andradite Garnet</t>
        </is>
      </c>
      <c r="C293" t="inlineStr">
        <is>
          <t>Demantoid Garnet</t>
        </is>
      </c>
      <c r="D293" t="inlineStr">
        <is>
          <t>Garnet</t>
        </is>
      </c>
      <c r="E293" t="inlineStr">
        <is>
          <t>Andradite</t>
        </is>
      </c>
      <c r="F293" t="n">
        <v>4</v>
      </c>
      <c r="G293" t="n">
        <v>29</v>
      </c>
      <c r="H293" t="n">
        <v>0</v>
      </c>
      <c r="I293" t="n">
        <v>0</v>
      </c>
      <c r="J293" t="inlineStr">
        <is>
          <t>Andalusite</t>
        </is>
      </c>
      <c r="K293" t="inlineStr">
        <is>
          <t>andalusite</t>
        </is>
      </c>
      <c r="L293" t="inlineStr">
        <is>
          <t>Angel Aura Quartz</t>
        </is>
      </c>
      <c r="M293" t="inlineStr">
        <is>
          <t>angel-aura-quartz</t>
        </is>
      </c>
      <c r="N293" t="b">
        <v>0</v>
      </c>
      <c r="O293" t="inlineStr">
        <is>
          <t>andradite-garnet</t>
        </is>
      </c>
      <c r="P293" t="inlineStr">
        <is>
          <t>Not Started</t>
        </is>
      </c>
      <c r="Q293" t="inlineStr">
        <is>
          <t>Root</t>
        </is>
      </c>
      <c r="R293" t="inlineStr">
        <is>
          <t>Heart</t>
        </is>
      </c>
      <c r="S293" t="inlineStr">
        <is>
          <t>Root</t>
        </is>
      </c>
      <c r="X293" t="inlineStr">
        <is>
          <t>Mineral</t>
        </is>
      </c>
      <c r="Z293" s="3" t="inlineStr">
        <is>
          <t>Purposeful forward movement</t>
        </is>
      </c>
      <c r="AA293" s="3" t="inlineStr">
        <is>
          <t>Use when you… know what needs to be done but feel hesitant, scattered, or slow to begin.</t>
        </is>
      </c>
      <c r="AB293" s="3" t="n"/>
      <c r="AC293" t="inlineStr">
        <is>
          <t>Vitality</t>
        </is>
      </c>
      <c r="AD293" t="inlineStr">
        <is>
          <t>Manifestation</t>
        </is>
      </c>
      <c r="AF293" t="inlineStr">
        <is>
          <t>["Strength","Confidence","Motivation"]</t>
        </is>
      </c>
      <c r="AK293" t="b">
        <v>0</v>
      </c>
      <c r="AL293" t="inlineStr">
        <is>
          <t>Unreviewed</t>
        </is>
      </c>
      <c r="AM293" t="inlineStr">
        <is>
          <t>Not Started</t>
        </is>
      </c>
      <c r="AN293" t="inlineStr">
        <is>
          <t>Not Started</t>
        </is>
      </c>
      <c r="AO293" t="inlineStr">
        <is>
          <t>Not Started</t>
        </is>
      </c>
      <c r="AP293" t="inlineStr">
        <is>
          <t>Not Started</t>
        </is>
      </c>
      <c r="AR293" t="inlineStr">
        <is>
          <t>v0.3-2026-06-29</t>
        </is>
      </c>
      <c r="AT293" s="3" t="n"/>
    </row>
    <row r="294">
      <c r="A294" t="inlineStr">
        <is>
          <t>C-0278</t>
        </is>
      </c>
      <c r="B294" t="inlineStr">
        <is>
          <t>Axinite</t>
        </is>
      </c>
      <c r="D294" t="inlineStr">
        <is>
          <t>Silicates</t>
        </is>
      </c>
      <c r="E294" t="inlineStr">
        <is>
          <t>Axinite</t>
        </is>
      </c>
      <c r="F294" t="n">
        <v>4</v>
      </c>
      <c r="G294" t="n">
        <v>29</v>
      </c>
      <c r="H294" t="n">
        <v>278</v>
      </c>
      <c r="I294" t="n">
        <v>278</v>
      </c>
      <c r="J294" t="inlineStr">
        <is>
          <t>Auralite 23</t>
        </is>
      </c>
      <c r="K294" t="inlineStr">
        <is>
          <t>auralite-23</t>
        </is>
      </c>
      <c r="L294" t="inlineStr">
        <is>
          <t>Azurite</t>
        </is>
      </c>
      <c r="M294" t="inlineStr">
        <is>
          <t>azurite</t>
        </is>
      </c>
      <c r="N294" t="b">
        <v>0</v>
      </c>
      <c r="O294" t="inlineStr">
        <is>
          <t>axinite</t>
        </is>
      </c>
      <c r="P294" t="inlineStr">
        <is>
          <t>Not Started</t>
        </is>
      </c>
      <c r="Q294" t="inlineStr">
        <is>
          <t>Root</t>
        </is>
      </c>
      <c r="R294" t="inlineStr">
        <is>
          <t>Third Eye</t>
        </is>
      </c>
      <c r="S294" t="inlineStr">
        <is>
          <t>Root</t>
        </is>
      </c>
      <c r="X294" t="inlineStr">
        <is>
          <t>Mineral</t>
        </is>
      </c>
      <c r="Z294" s="3" t="inlineStr">
        <is>
          <t>Adjusting under pressure</t>
        </is>
      </c>
      <c r="AA294" s="3" t="inlineStr">
        <is>
          <t>Use when you… must respond to changing circumstances without becoming reactive or abandoning your priorities.</t>
        </is>
      </c>
      <c r="AB294" s="3" t="n"/>
      <c r="AC294" t="inlineStr">
        <is>
          <t>Grounding</t>
        </is>
      </c>
      <c r="AD294" t="inlineStr">
        <is>
          <t>Clarity &amp; Focus</t>
        </is>
      </c>
      <c r="AF294" t="inlineStr">
        <is>
          <t>["Adaptability","Resilience","Stability"]</t>
        </is>
      </c>
      <c r="AK294" t="b">
        <v>0</v>
      </c>
      <c r="AL294" t="inlineStr">
        <is>
          <t>Unreviewed</t>
        </is>
      </c>
      <c r="AM294" t="inlineStr">
        <is>
          <t>Not Started</t>
        </is>
      </c>
      <c r="AN294" t="inlineStr">
        <is>
          <t>Not Started</t>
        </is>
      </c>
      <c r="AO294" t="inlineStr">
        <is>
          <t>Not Started</t>
        </is>
      </c>
      <c r="AP294" t="inlineStr">
        <is>
          <t>Not Started</t>
        </is>
      </c>
      <c r="AR294" t="inlineStr">
        <is>
          <t>v0.3-2026-06-29</t>
        </is>
      </c>
      <c r="AT294" s="3" t="n"/>
    </row>
    <row r="295">
      <c r="A295" t="inlineStr">
        <is>
          <t>C-0281</t>
        </is>
      </c>
      <c r="B295" t="inlineStr">
        <is>
          <t>Black Opal</t>
        </is>
      </c>
      <c r="D295" t="inlineStr">
        <is>
          <t>Opal</t>
        </is>
      </c>
      <c r="E295" t="inlineStr">
        <is>
          <t>Opal</t>
        </is>
      </c>
      <c r="F295" t="n">
        <v>4</v>
      </c>
      <c r="G295" t="n">
        <v>29</v>
      </c>
      <c r="H295" t="n">
        <v>0</v>
      </c>
      <c r="I295" t="n">
        <v>0</v>
      </c>
      <c r="J295" t="inlineStr">
        <is>
          <t>Black Obsidian</t>
        </is>
      </c>
      <c r="K295" t="inlineStr">
        <is>
          <t>black-obsidian</t>
        </is>
      </c>
      <c r="L295" t="inlineStr">
        <is>
          <t>Black Tourmaline</t>
        </is>
      </c>
      <c r="M295" t="inlineStr">
        <is>
          <t>black-tourmaline</t>
        </is>
      </c>
      <c r="N295" t="b">
        <v>0</v>
      </c>
      <c r="O295" t="inlineStr">
        <is>
          <t>black-opal</t>
        </is>
      </c>
      <c r="P295" t="inlineStr">
        <is>
          <t>Not Started</t>
        </is>
      </c>
      <c r="Q295" t="inlineStr">
        <is>
          <t>Third Eye</t>
        </is>
      </c>
      <c r="R295" t="inlineStr">
        <is>
          <t>Root</t>
        </is>
      </c>
      <c r="S295" t="inlineStr">
        <is>
          <t>Third Eye</t>
        </is>
      </c>
      <c r="X295" t="inlineStr">
        <is>
          <t>Mineraloid</t>
        </is>
      </c>
      <c r="Z295" s="3" t="inlineStr">
        <is>
          <t>Exploring hidden emotions</t>
        </is>
      </c>
      <c r="AA295" s="3" t="inlineStr">
        <is>
          <t>Use when you… sense that an emotional reaction has deeper layers you have not yet understood.</t>
        </is>
      </c>
      <c r="AB295" s="3" t="n"/>
      <c r="AC295" t="inlineStr">
        <is>
          <t>Intuition</t>
        </is>
      </c>
      <c r="AD295" t="inlineStr">
        <is>
          <t>Transformation</t>
        </is>
      </c>
      <c r="AF295" t="inlineStr">
        <is>
          <t>["Intuition","Insight","Transformation"]</t>
        </is>
      </c>
      <c r="AK295" t="b">
        <v>0</v>
      </c>
      <c r="AL295" t="inlineStr">
        <is>
          <t>Unreviewed</t>
        </is>
      </c>
      <c r="AM295" t="inlineStr">
        <is>
          <t>Not Started</t>
        </is>
      </c>
      <c r="AN295" t="inlineStr">
        <is>
          <t>Not Started</t>
        </is>
      </c>
      <c r="AO295" t="inlineStr">
        <is>
          <t>Not Started</t>
        </is>
      </c>
      <c r="AP295" t="inlineStr">
        <is>
          <t>Not Started</t>
        </is>
      </c>
      <c r="AR295" t="inlineStr">
        <is>
          <t>v0.3-2026-06-29</t>
        </is>
      </c>
      <c r="AT295" s="3" t="n"/>
    </row>
    <row r="296">
      <c r="A296" t="inlineStr">
        <is>
          <t>C-0282</t>
        </is>
      </c>
      <c r="B296" t="inlineStr">
        <is>
          <t>Blue Halite</t>
        </is>
      </c>
      <c r="C296" t="inlineStr">
        <is>
          <t>Blue Rock Salt</t>
        </is>
      </c>
      <c r="D296" t="inlineStr">
        <is>
          <t>Halite</t>
        </is>
      </c>
      <c r="E296" t="inlineStr">
        <is>
          <t>Halite</t>
        </is>
      </c>
      <c r="F296" t="n">
        <v>4</v>
      </c>
      <c r="G296" t="n">
        <v>29</v>
      </c>
      <c r="H296" t="n">
        <v>0</v>
      </c>
      <c r="I296" t="n">
        <v>0</v>
      </c>
      <c r="J296" t="inlineStr">
        <is>
          <t>Blue Fluorite</t>
        </is>
      </c>
      <c r="K296" t="inlineStr">
        <is>
          <t>blue-fluorite</t>
        </is>
      </c>
      <c r="L296" t="inlineStr">
        <is>
          <t>Blue Kyanite</t>
        </is>
      </c>
      <c r="M296" t="inlineStr">
        <is>
          <t>blue-kyanite</t>
        </is>
      </c>
      <c r="N296" t="b">
        <v>0</v>
      </c>
      <c r="O296" t="inlineStr">
        <is>
          <t>blue-halite</t>
        </is>
      </c>
      <c r="P296" t="inlineStr">
        <is>
          <t>Not Started</t>
        </is>
      </c>
      <c r="Q296" t="inlineStr">
        <is>
          <t>Throat</t>
        </is>
      </c>
      <c r="R296" t="inlineStr">
        <is>
          <t>Third Eye</t>
        </is>
      </c>
      <c r="S296" t="inlineStr">
        <is>
          <t>Throat</t>
        </is>
      </c>
      <c r="X296" t="inlineStr">
        <is>
          <t>Mineral</t>
        </is>
      </c>
      <c r="Z296" s="3" t="inlineStr">
        <is>
          <t>Mental calm</t>
        </is>
      </c>
      <c r="AA296" s="3" t="inlineStr">
        <is>
          <t>Use when your thoughts feel crowded and you need to organize what you want to say before speaking.</t>
        </is>
      </c>
      <c r="AB296" s="3" t="n"/>
      <c r="AC296" t="inlineStr">
        <is>
          <t>Calm &amp; Peace</t>
        </is>
      </c>
      <c r="AD296" t="inlineStr">
        <is>
          <t>Protection</t>
        </is>
      </c>
      <c r="AF296" t="inlineStr">
        <is>
          <t>["Calm","Communication","Clarity"]</t>
        </is>
      </c>
      <c r="AK296" t="b">
        <v>0</v>
      </c>
      <c r="AL296" t="inlineStr">
        <is>
          <t>Unreviewed</t>
        </is>
      </c>
      <c r="AM296" t="inlineStr">
        <is>
          <t>Not Started</t>
        </is>
      </c>
      <c r="AN296" t="inlineStr">
        <is>
          <t>Not Started</t>
        </is>
      </c>
      <c r="AO296" t="inlineStr">
        <is>
          <t>Not Started</t>
        </is>
      </c>
      <c r="AP296" t="inlineStr">
        <is>
          <t>Not Started</t>
        </is>
      </c>
      <c r="AR296" t="inlineStr">
        <is>
          <t>v0.3-2026-06-29</t>
        </is>
      </c>
      <c r="AT296" s="3" t="n"/>
    </row>
    <row r="297">
      <c r="A297" t="inlineStr">
        <is>
          <t>C-0058</t>
        </is>
      </c>
      <c r="B297" t="inlineStr">
        <is>
          <t>Blue Tourmaline</t>
        </is>
      </c>
      <c r="C297" t="inlineStr">
        <is>
          <t>Indicolite</t>
        </is>
      </c>
      <c r="D297" t="inlineStr">
        <is>
          <t>Tourmaline</t>
        </is>
      </c>
      <c r="E297" t="inlineStr">
        <is>
          <t>Elbaite</t>
        </is>
      </c>
      <c r="F297" t="n">
        <v>4</v>
      </c>
      <c r="G297" t="n">
        <v>29</v>
      </c>
      <c r="H297" t="n">
        <v>58</v>
      </c>
      <c r="I297" t="n">
        <v>58</v>
      </c>
      <c r="J297" t="inlineStr">
        <is>
          <t>Blue Topaz</t>
        </is>
      </c>
      <c r="K297" t="inlineStr">
        <is>
          <t>blue-topaz</t>
        </is>
      </c>
      <c r="L297" t="inlineStr">
        <is>
          <t>Boji Stones</t>
        </is>
      </c>
      <c r="M297" t="inlineStr">
        <is>
          <t>boji-stones</t>
        </is>
      </c>
      <c r="N297" t="b">
        <v>0</v>
      </c>
      <c r="O297" t="inlineStr">
        <is>
          <t>blue-tourmaline</t>
        </is>
      </c>
      <c r="P297" t="inlineStr">
        <is>
          <t>Not Started</t>
        </is>
      </c>
      <c r="Q297" t="inlineStr">
        <is>
          <t>Throat</t>
        </is>
      </c>
      <c r="R297" t="inlineStr">
        <is>
          <t>Third Eye</t>
        </is>
      </c>
      <c r="S297" t="inlineStr">
        <is>
          <t>Throat</t>
        </is>
      </c>
      <c r="X297" t="inlineStr">
        <is>
          <t>Mineral</t>
        </is>
      </c>
      <c r="Z297" s="3" t="inlineStr">
        <is>
          <t>Calm, honest expression</t>
        </is>
      </c>
      <c r="AA297" s="3" t="inlineStr">
        <is>
          <t>Use when you… need to communicate something sensitive without becoming defensive or emotionally flooded.</t>
        </is>
      </c>
      <c r="AB297" s="3" t="n"/>
      <c r="AC297" t="inlineStr">
        <is>
          <t>Communication</t>
        </is>
      </c>
      <c r="AD297" t="inlineStr">
        <is>
          <t>Intuition</t>
        </is>
      </c>
      <c r="AF297" t="inlineStr">
        <is>
          <t>["Communication","Intuition","Calm"]</t>
        </is>
      </c>
      <c r="AK297" t="b">
        <v>0</v>
      </c>
      <c r="AL297" t="inlineStr">
        <is>
          <t>Unreviewed</t>
        </is>
      </c>
      <c r="AM297" t="inlineStr">
        <is>
          <t>Not Started</t>
        </is>
      </c>
      <c r="AN297" t="inlineStr">
        <is>
          <t>Not Started</t>
        </is>
      </c>
      <c r="AO297" t="inlineStr">
        <is>
          <t>Not Started</t>
        </is>
      </c>
      <c r="AP297" t="inlineStr">
        <is>
          <t>Not Started</t>
        </is>
      </c>
      <c r="AR297" t="inlineStr">
        <is>
          <t>v0.3-2026-06-29</t>
        </is>
      </c>
      <c r="AT297" s="3" t="n"/>
    </row>
    <row r="298">
      <c r="A298" t="inlineStr">
        <is>
          <t>C-0184</t>
        </is>
      </c>
      <c r="B298" t="inlineStr">
        <is>
          <t>Boji Stones</t>
        </is>
      </c>
      <c r="D298" t="inlineStr">
        <is>
          <t>Sulfides</t>
        </is>
      </c>
      <c r="E298" t="inlineStr">
        <is>
          <t>Pyrite; Marcasite</t>
        </is>
      </c>
      <c r="F298" t="n">
        <v>4</v>
      </c>
      <c r="G298" t="n">
        <v>29</v>
      </c>
      <c r="H298" t="n">
        <v>184</v>
      </c>
      <c r="I298" t="n">
        <v>184</v>
      </c>
      <c r="J298" t="inlineStr">
        <is>
          <t>Blue Tourmaline</t>
        </is>
      </c>
      <c r="K298" t="inlineStr">
        <is>
          <t>blue-tourmaline</t>
        </is>
      </c>
      <c r="L298" t="inlineStr">
        <is>
          <t>Bornite</t>
        </is>
      </c>
      <c r="M298" t="inlineStr">
        <is>
          <t>bornite</t>
        </is>
      </c>
      <c r="N298" t="b">
        <v>0</v>
      </c>
      <c r="O298" t="inlineStr">
        <is>
          <t>boji-stones</t>
        </is>
      </c>
      <c r="P298" t="inlineStr">
        <is>
          <t>Not Started</t>
        </is>
      </c>
      <c r="Q298" t="inlineStr">
        <is>
          <t>Root</t>
        </is>
      </c>
      <c r="R298" t="inlineStr">
        <is>
          <t>Sacral</t>
        </is>
      </c>
      <c r="S298" t="inlineStr">
        <is>
          <t>Root</t>
        </is>
      </c>
      <c r="X298" t="inlineStr">
        <is>
          <t>Composite</t>
        </is>
      </c>
      <c r="Z298" s="3" t="inlineStr">
        <is>
          <t>Restoring equilibrium</t>
        </is>
      </c>
      <c r="AA298" s="3" t="inlineStr">
        <is>
          <t>Use when you… feel pulled between competing needs and want to regain a centered position before deciding what comes next.</t>
        </is>
      </c>
      <c r="AB298" s="3" t="n"/>
      <c r="AC298" t="inlineStr">
        <is>
          <t>Emotional Balance</t>
        </is>
      </c>
      <c r="AD298" t="inlineStr">
        <is>
          <t>Vitality</t>
        </is>
      </c>
      <c r="AF298" t="inlineStr">
        <is>
          <t>["Balance","Grounding","Integration"]</t>
        </is>
      </c>
      <c r="AJ298" t="inlineStr">
        <is>
          <t>Composite</t>
        </is>
      </c>
      <c r="AK298" t="b">
        <v>1</v>
      </c>
      <c r="AL298" t="inlineStr">
        <is>
          <t>Unreviewed</t>
        </is>
      </c>
      <c r="AM298" t="inlineStr">
        <is>
          <t>Not Started</t>
        </is>
      </c>
      <c r="AN298" t="inlineStr">
        <is>
          <t>Not Started</t>
        </is>
      </c>
      <c r="AO298" t="inlineStr">
        <is>
          <t>Not Started</t>
        </is>
      </c>
      <c r="AP298" t="inlineStr">
        <is>
          <t>Not Started</t>
        </is>
      </c>
      <c r="AR298" t="inlineStr">
        <is>
          <t>v0.3-2026-06-29</t>
        </is>
      </c>
      <c r="AT298" s="3" t="n"/>
    </row>
    <row r="299">
      <c r="A299" t="inlineStr">
        <is>
          <t>C-0284</t>
        </is>
      </c>
      <c r="B299" t="inlineStr">
        <is>
          <t>Brandberg Amethyst</t>
        </is>
      </c>
      <c r="C299" t="inlineStr">
        <is>
          <t>Brandenberg Amethyst</t>
        </is>
      </c>
      <c r="D299" t="inlineStr">
        <is>
          <t>Quartz</t>
        </is>
      </c>
      <c r="E299" t="inlineStr">
        <is>
          <t>Quartz</t>
        </is>
      </c>
      <c r="F299" t="n">
        <v>4</v>
      </c>
      <c r="G299" t="n">
        <v>29</v>
      </c>
      <c r="H299" t="n">
        <v>0</v>
      </c>
      <c r="I299" t="n">
        <v>0</v>
      </c>
      <c r="J299" t="inlineStr">
        <is>
          <t>Botswana Agate</t>
        </is>
      </c>
      <c r="K299" t="inlineStr">
        <is>
          <t>botswana-agate</t>
        </is>
      </c>
      <c r="L299" t="inlineStr">
        <is>
          <t>Brecciated Jasper</t>
        </is>
      </c>
      <c r="M299" t="inlineStr">
        <is>
          <t>brecciated-jasper</t>
        </is>
      </c>
      <c r="N299" t="b">
        <v>0</v>
      </c>
      <c r="O299" t="inlineStr">
        <is>
          <t>brandberg-amethyst</t>
        </is>
      </c>
      <c r="P299" t="inlineStr">
        <is>
          <t>Not Started</t>
        </is>
      </c>
      <c r="Q299" t="inlineStr">
        <is>
          <t>Crown</t>
        </is>
      </c>
      <c r="R299" t="inlineStr">
        <is>
          <t>Third Eye</t>
        </is>
      </c>
      <c r="S299" t="inlineStr">
        <is>
          <t>Crown</t>
        </is>
      </c>
      <c r="X299" t="inlineStr">
        <is>
          <t>Mineral</t>
        </is>
      </c>
      <c r="Z299" s="3" t="inlineStr">
        <is>
          <t>Clear awareness</t>
        </is>
      </c>
      <c r="AA299" s="3" t="inlineStr">
        <is>
          <t>Use when you want to deepen meditation or reflection while remaining calm, present, and connected to everyday life.</t>
        </is>
      </c>
      <c r="AB299" s="3" t="n"/>
      <c r="AC299" t="inlineStr">
        <is>
          <t>Spiritual Connection</t>
        </is>
      </c>
      <c r="AD299" t="inlineStr">
        <is>
          <t>Transformation</t>
        </is>
      </c>
      <c r="AF299" t="inlineStr">
        <is>
          <t>["Spirit","Clarity","Meditation"]</t>
        </is>
      </c>
      <c r="AK299" t="b">
        <v>0</v>
      </c>
      <c r="AL299" t="inlineStr">
        <is>
          <t>Unreviewed</t>
        </is>
      </c>
      <c r="AM299" t="inlineStr">
        <is>
          <t>Not Started</t>
        </is>
      </c>
      <c r="AN299" t="inlineStr">
        <is>
          <t>Not Started</t>
        </is>
      </c>
      <c r="AO299" t="inlineStr">
        <is>
          <t>Not Started</t>
        </is>
      </c>
      <c r="AP299" t="inlineStr">
        <is>
          <t>Not Started</t>
        </is>
      </c>
      <c r="AR299" t="inlineStr">
        <is>
          <t>v0.3-2026-06-29</t>
        </is>
      </c>
      <c r="AT299" s="3" t="n"/>
    </row>
    <row r="300">
      <c r="A300" t="inlineStr">
        <is>
          <t>C-0286</t>
        </is>
      </c>
      <c r="B300" t="inlineStr">
        <is>
          <t>Brookite</t>
        </is>
      </c>
      <c r="D300" t="inlineStr">
        <is>
          <t>Oxides</t>
        </is>
      </c>
      <c r="E300" t="inlineStr">
        <is>
          <t>Brookite</t>
        </is>
      </c>
      <c r="F300" t="n">
        <v>4</v>
      </c>
      <c r="G300" t="n">
        <v>30</v>
      </c>
      <c r="H300" t="n">
        <v>0</v>
      </c>
      <c r="I300" t="n">
        <v>0</v>
      </c>
      <c r="J300" t="inlineStr">
        <is>
          <t>Bronzite</t>
        </is>
      </c>
      <c r="K300" t="inlineStr">
        <is>
          <t>bronzite</t>
        </is>
      </c>
      <c r="L300" t="inlineStr">
        <is>
          <t>Brown Tourmaline</t>
        </is>
      </c>
      <c r="M300" t="inlineStr">
        <is>
          <t>brown-tourmaline</t>
        </is>
      </c>
      <c r="N300" t="b">
        <v>0</v>
      </c>
      <c r="O300" t="inlineStr">
        <is>
          <t>brookite</t>
        </is>
      </c>
      <c r="P300" t="inlineStr">
        <is>
          <t>Not Started</t>
        </is>
      </c>
      <c r="Q300" t="inlineStr">
        <is>
          <t>Crown</t>
        </is>
      </c>
      <c r="R300" t="inlineStr">
        <is>
          <t>Third Eye</t>
        </is>
      </c>
      <c r="S300" t="inlineStr">
        <is>
          <t>Crown</t>
        </is>
      </c>
      <c r="X300" t="inlineStr">
        <is>
          <t>Mineral</t>
        </is>
      </c>
      <c r="Z300" s="3" t="inlineStr">
        <is>
          <t>Breaking through stagnation</t>
        </is>
      </c>
      <c r="AA300" s="3" t="inlineStr">
        <is>
          <t>Use when you… have outgrown an old pattern but have not yet committed to a new direction.</t>
        </is>
      </c>
      <c r="AB300" s="3" t="n"/>
      <c r="AC300" t="inlineStr">
        <is>
          <t>Spiritual Connection</t>
        </is>
      </c>
      <c r="AD300" t="inlineStr">
        <is>
          <t>Clarity &amp; Focus</t>
        </is>
      </c>
      <c r="AF300" t="inlineStr">
        <is>
          <t>["Breakthrough","Awareness","Motivation"]</t>
        </is>
      </c>
      <c r="AK300" t="b">
        <v>0</v>
      </c>
      <c r="AL300" t="inlineStr">
        <is>
          <t>Unreviewed</t>
        </is>
      </c>
      <c r="AM300" t="inlineStr">
        <is>
          <t>Not Started</t>
        </is>
      </c>
      <c r="AN300" t="inlineStr">
        <is>
          <t>Not Started</t>
        </is>
      </c>
      <c r="AO300" t="inlineStr">
        <is>
          <t>Not Started</t>
        </is>
      </c>
      <c r="AP300" t="inlineStr">
        <is>
          <t>Not Started</t>
        </is>
      </c>
      <c r="AR300" t="inlineStr">
        <is>
          <t>v0.3-2026-06-29</t>
        </is>
      </c>
      <c r="AT300" s="3" t="n"/>
    </row>
    <row r="301">
      <c r="A301" t="inlineStr">
        <is>
          <t>C-0288</t>
        </is>
      </c>
      <c r="B301" t="inlineStr">
        <is>
          <t>Bustamite</t>
        </is>
      </c>
      <c r="D301" t="inlineStr">
        <is>
          <t>Silicates</t>
        </is>
      </c>
      <c r="E301" t="inlineStr">
        <is>
          <t>Bustamite</t>
        </is>
      </c>
      <c r="F301" t="n">
        <v>4</v>
      </c>
      <c r="G301" t="n">
        <v>30</v>
      </c>
      <c r="H301" t="n">
        <v>0</v>
      </c>
      <c r="I301" t="n">
        <v>0</v>
      </c>
      <c r="J301" t="inlineStr">
        <is>
          <t>Bumblebee Jasper</t>
        </is>
      </c>
      <c r="K301" t="inlineStr">
        <is>
          <t>bumblebee-jasper</t>
        </is>
      </c>
      <c r="L301" t="inlineStr">
        <is>
          <t>Cacoxenite</t>
        </is>
      </c>
      <c r="M301" t="inlineStr">
        <is>
          <t>cacoxenite</t>
        </is>
      </c>
      <c r="N301" t="b">
        <v>0</v>
      </c>
      <c r="O301" t="inlineStr">
        <is>
          <t>bustamite</t>
        </is>
      </c>
      <c r="P301" t="inlineStr">
        <is>
          <t>Not Started</t>
        </is>
      </c>
      <c r="Q301" t="inlineStr">
        <is>
          <t>Heart</t>
        </is>
      </c>
      <c r="S301" t="inlineStr">
        <is>
          <t>Heart</t>
        </is>
      </c>
      <c r="X301" t="inlineStr">
        <is>
          <t>Mineral</t>
        </is>
      </c>
      <c r="Z301" s="3" t="inlineStr">
        <is>
          <t>Rebuilding after disappointment</t>
        </is>
      </c>
      <c r="AA301" s="3" t="inlineStr">
        <is>
          <t>Use when you… are ready to move forward after a setback but still feel emotionally bruised by what happened.</t>
        </is>
      </c>
      <c r="AB301" s="3" t="n"/>
      <c r="AC301" t="inlineStr">
        <is>
          <t>Heart Healing</t>
        </is>
      </c>
      <c r="AD301" t="inlineStr">
        <is>
          <t>Self-Love</t>
        </is>
      </c>
      <c r="AF301" t="inlineStr">
        <is>
          <t>["Healing","Renewal","Confidence"]</t>
        </is>
      </c>
      <c r="AK301" t="b">
        <v>0</v>
      </c>
      <c r="AL301" t="inlineStr">
        <is>
          <t>Unreviewed</t>
        </is>
      </c>
      <c r="AM301" t="inlineStr">
        <is>
          <t>Not Started</t>
        </is>
      </c>
      <c r="AN301" t="inlineStr">
        <is>
          <t>Not Started</t>
        </is>
      </c>
      <c r="AO301" t="inlineStr">
        <is>
          <t>Not Started</t>
        </is>
      </c>
      <c r="AP301" t="inlineStr">
        <is>
          <t>Not Started</t>
        </is>
      </c>
      <c r="AR301" t="inlineStr">
        <is>
          <t>v0.3-2026-06-29</t>
        </is>
      </c>
      <c r="AT301" s="3" t="n"/>
    </row>
    <row r="302">
      <c r="A302" t="inlineStr">
        <is>
          <t>C-0220</t>
        </is>
      </c>
      <c r="B302" t="inlineStr">
        <is>
          <t>Cavansite</t>
        </is>
      </c>
      <c r="D302" t="inlineStr">
        <is>
          <t>Silicates</t>
        </is>
      </c>
      <c r="E302" t="inlineStr">
        <is>
          <t>Cavansite</t>
        </is>
      </c>
      <c r="F302" t="n">
        <v>4</v>
      </c>
      <c r="G302" t="n">
        <v>30</v>
      </c>
      <c r="H302" t="n">
        <v>220</v>
      </c>
      <c r="I302" t="n">
        <v>220</v>
      </c>
      <c r="J302" t="inlineStr">
        <is>
          <t>Carnelian</t>
        </is>
      </c>
      <c r="K302" t="inlineStr">
        <is>
          <t>carnelian</t>
        </is>
      </c>
      <c r="L302" t="inlineStr">
        <is>
          <t>Celestite</t>
        </is>
      </c>
      <c r="M302" t="inlineStr">
        <is>
          <t>celestite</t>
        </is>
      </c>
      <c r="N302" t="b">
        <v>0</v>
      </c>
      <c r="O302" t="inlineStr">
        <is>
          <t>cavansite</t>
        </is>
      </c>
      <c r="P302" t="inlineStr">
        <is>
          <t>Not Started</t>
        </is>
      </c>
      <c r="Q302" t="inlineStr">
        <is>
          <t>Third Eye</t>
        </is>
      </c>
      <c r="R302" t="inlineStr">
        <is>
          <t>Throat</t>
        </is>
      </c>
      <c r="S302" t="inlineStr">
        <is>
          <t>Third Eye</t>
        </is>
      </c>
      <c r="X302" t="inlineStr">
        <is>
          <t>Mineral</t>
        </is>
      </c>
      <c r="Z302" s="3" t="inlineStr">
        <is>
          <t>Trusting inner guidance</t>
        </is>
      </c>
      <c r="AA302" s="3" t="inlineStr">
        <is>
          <t>Use when you… are receiving a strong inner nudge but keep questioning whether you should follow it.</t>
        </is>
      </c>
      <c r="AB302" s="3" t="n"/>
      <c r="AC302" t="inlineStr">
        <is>
          <t>Clarity &amp; Focus</t>
        </is>
      </c>
      <c r="AD302" t="inlineStr">
        <is>
          <t>Communication</t>
        </is>
      </c>
      <c r="AF302" t="inlineStr">
        <is>
          <t>["Intuition","Trust","Spirit"]</t>
        </is>
      </c>
      <c r="AK302" t="b">
        <v>0</v>
      </c>
      <c r="AL302" t="inlineStr">
        <is>
          <t>Unreviewed</t>
        </is>
      </c>
      <c r="AM302" t="inlineStr">
        <is>
          <t>Not Started</t>
        </is>
      </c>
      <c r="AN302" t="inlineStr">
        <is>
          <t>Not Started</t>
        </is>
      </c>
      <c r="AO302" t="inlineStr">
        <is>
          <t>Not Started</t>
        </is>
      </c>
      <c r="AP302" t="inlineStr">
        <is>
          <t>Not Started</t>
        </is>
      </c>
      <c r="AR302" t="inlineStr">
        <is>
          <t>v0.3-2026-06-29</t>
        </is>
      </c>
      <c r="AT302" s="3" t="n"/>
    </row>
    <row r="303">
      <c r="A303" t="inlineStr">
        <is>
          <t>C-0294</t>
        </is>
      </c>
      <c r="B303" t="inlineStr">
        <is>
          <t>Chrysoberyl</t>
        </is>
      </c>
      <c r="D303" t="inlineStr">
        <is>
          <t>Oxides</t>
        </is>
      </c>
      <c r="E303" t="inlineStr">
        <is>
          <t>Chrysoberyl</t>
        </is>
      </c>
      <c r="F303" t="n">
        <v>4</v>
      </c>
      <c r="G303" t="n">
        <v>30</v>
      </c>
      <c r="H303" t="n">
        <v>0</v>
      </c>
      <c r="I303" t="n">
        <v>0</v>
      </c>
      <c r="J303" t="inlineStr">
        <is>
          <t>Chrysanthemum Stone</t>
        </is>
      </c>
      <c r="K303" t="inlineStr">
        <is>
          <t>chrysanthemum-stone</t>
        </is>
      </c>
      <c r="L303" t="inlineStr">
        <is>
          <t>Chrysocolla</t>
        </is>
      </c>
      <c r="M303" t="inlineStr">
        <is>
          <t>chrysocolla</t>
        </is>
      </c>
      <c r="N303" t="b">
        <v>0</v>
      </c>
      <c r="O303" t="inlineStr">
        <is>
          <t>chrysoberyl</t>
        </is>
      </c>
      <c r="P303" t="inlineStr">
        <is>
          <t>Not Started</t>
        </is>
      </c>
      <c r="Q303" t="inlineStr">
        <is>
          <t>Solar Plexus</t>
        </is>
      </c>
      <c r="R303" t="inlineStr">
        <is>
          <t>Crown</t>
        </is>
      </c>
      <c r="S303" t="inlineStr">
        <is>
          <t>Solar Plexus</t>
        </is>
      </c>
      <c r="X303" t="inlineStr">
        <is>
          <t>Mineral</t>
        </is>
      </c>
      <c r="Z303" s="3" t="inlineStr">
        <is>
          <t>Focused self-mastery</t>
        </is>
      </c>
      <c r="AA303" s="3" t="inlineStr">
        <is>
          <t>Use when you… need to stay committed to a demanding goal despite distractions or slow progress.</t>
        </is>
      </c>
      <c r="AB303" s="3" t="n"/>
      <c r="AC303" t="inlineStr">
        <is>
          <t>Clarity &amp; Focus</t>
        </is>
      </c>
      <c r="AD303" t="inlineStr">
        <is>
          <t>Confidence</t>
        </is>
      </c>
      <c r="AF303" t="inlineStr">
        <is>
          <t>["Discipline","Discernment","Confidence"]</t>
        </is>
      </c>
      <c r="AK303" t="b">
        <v>0</v>
      </c>
      <c r="AL303" t="inlineStr">
        <is>
          <t>Unreviewed</t>
        </is>
      </c>
      <c r="AM303" t="inlineStr">
        <is>
          <t>Not Started</t>
        </is>
      </c>
      <c r="AN303" t="inlineStr">
        <is>
          <t>Not Started</t>
        </is>
      </c>
      <c r="AO303" t="inlineStr">
        <is>
          <t>Not Started</t>
        </is>
      </c>
      <c r="AP303" t="inlineStr">
        <is>
          <t>Not Started</t>
        </is>
      </c>
      <c r="AR303" t="inlineStr">
        <is>
          <t>v0.3-2026-06-29</t>
        </is>
      </c>
      <c r="AT303" s="3" t="n"/>
    </row>
    <row r="304">
      <c r="A304" t="inlineStr">
        <is>
          <t>C-0011</t>
        </is>
      </c>
      <c r="B304" t="inlineStr">
        <is>
          <t>Cobaltoan Calcite</t>
        </is>
      </c>
      <c r="D304" t="inlineStr">
        <is>
          <t>Calcite</t>
        </is>
      </c>
      <c r="E304" t="inlineStr">
        <is>
          <t>Calcite</t>
        </is>
      </c>
      <c r="F304" t="n">
        <v>4</v>
      </c>
      <c r="G304" t="n">
        <v>30</v>
      </c>
      <c r="H304" t="n">
        <v>11</v>
      </c>
      <c r="I304" t="n">
        <v>11</v>
      </c>
      <c r="J304" t="inlineStr">
        <is>
          <t>Clear Quartz</t>
        </is>
      </c>
      <c r="K304" t="inlineStr">
        <is>
          <t>clear-quartz</t>
        </is>
      </c>
      <c r="L304" t="inlineStr">
        <is>
          <t>Copper</t>
        </is>
      </c>
      <c r="M304" t="inlineStr">
        <is>
          <t>copper</t>
        </is>
      </c>
      <c r="N304" t="b">
        <v>0</v>
      </c>
      <c r="O304" t="inlineStr">
        <is>
          <t>cobaltoan-calcite</t>
        </is>
      </c>
      <c r="P304" t="inlineStr">
        <is>
          <t>Not Started</t>
        </is>
      </c>
      <c r="Q304" t="inlineStr">
        <is>
          <t>Heart</t>
        </is>
      </c>
      <c r="S304" t="inlineStr">
        <is>
          <t>Heart</t>
        </is>
      </c>
      <c r="X304" t="inlineStr">
        <is>
          <t>Mineral</t>
        </is>
      </c>
      <c r="Z304" s="3" t="inlineStr">
        <is>
          <t>Receiving love safely</t>
        </is>
      </c>
      <c r="AA304" s="3" t="inlineStr">
        <is>
          <t>Use when you… find it easier to care for others than to receive support, affection, or reassurance yourself.</t>
        </is>
      </c>
      <c r="AB304" s="3" t="n"/>
      <c r="AC304" t="inlineStr">
        <is>
          <t>Heart Healing</t>
        </is>
      </c>
      <c r="AD304" t="inlineStr">
        <is>
          <t>Self-Love</t>
        </is>
      </c>
      <c r="AF304" t="inlineStr">
        <is>
          <t>["Love","Acceptance","Compassion"]</t>
        </is>
      </c>
      <c r="AK304" t="b">
        <v>0</v>
      </c>
      <c r="AL304" t="inlineStr">
        <is>
          <t>Unreviewed</t>
        </is>
      </c>
      <c r="AM304" t="inlineStr">
        <is>
          <t>Not Started</t>
        </is>
      </c>
      <c r="AN304" t="inlineStr">
        <is>
          <t>Not Started</t>
        </is>
      </c>
      <c r="AO304" t="inlineStr">
        <is>
          <t>Not Started</t>
        </is>
      </c>
      <c r="AP304" t="inlineStr">
        <is>
          <t>Not Started</t>
        </is>
      </c>
      <c r="AR304" t="inlineStr">
        <is>
          <t>v0.3-2026-06-29</t>
        </is>
      </c>
      <c r="AT304" s="3" t="n"/>
    </row>
    <row r="305">
      <c r="A305" t="inlineStr">
        <is>
          <t>C-0135</t>
        </is>
      </c>
      <c r="B305" t="inlineStr">
        <is>
          <t>Covellite</t>
        </is>
      </c>
      <c r="D305" t="inlineStr">
        <is>
          <t>Sulfides</t>
        </is>
      </c>
      <c r="E305" t="inlineStr">
        <is>
          <t>Covellite</t>
        </is>
      </c>
      <c r="F305" t="n">
        <v>4</v>
      </c>
      <c r="G305" t="n">
        <v>30</v>
      </c>
      <c r="H305" t="n">
        <v>135</v>
      </c>
      <c r="I305" t="n">
        <v>135</v>
      </c>
      <c r="J305" t="inlineStr">
        <is>
          <t>Copper</t>
        </is>
      </c>
      <c r="K305" t="inlineStr">
        <is>
          <t>copper</t>
        </is>
      </c>
      <c r="L305" t="inlineStr">
        <is>
          <t>Crackle Quartz</t>
        </is>
      </c>
      <c r="M305" t="inlineStr">
        <is>
          <t>crackle-quartz</t>
        </is>
      </c>
      <c r="N305" t="b">
        <v>0</v>
      </c>
      <c r="O305" t="inlineStr">
        <is>
          <t>covellite</t>
        </is>
      </c>
      <c r="P305" t="inlineStr">
        <is>
          <t>Not Started</t>
        </is>
      </c>
      <c r="Q305" t="inlineStr">
        <is>
          <t>Third Eye</t>
        </is>
      </c>
      <c r="R305" t="inlineStr">
        <is>
          <t>Crown</t>
        </is>
      </c>
      <c r="S305" t="inlineStr">
        <is>
          <t>Third Eye</t>
        </is>
      </c>
      <c r="X305" t="inlineStr">
        <is>
          <t>Mineral</t>
        </is>
      </c>
      <c r="Z305" s="3" t="inlineStr">
        <is>
          <t>Recognizing hidden patterns</t>
        </is>
      </c>
      <c r="AA305" s="3" t="inlineStr">
        <is>
          <t>Use when you… keep repeating the same reaction and suspect an unexamined fear or belief is driving it.</t>
        </is>
      </c>
      <c r="AB305" s="3" t="n"/>
      <c r="AC305" t="inlineStr">
        <is>
          <t>Protection</t>
        </is>
      </c>
      <c r="AD305" t="inlineStr">
        <is>
          <t>Intuition</t>
        </is>
      </c>
      <c r="AF305" t="inlineStr">
        <is>
          <t>["Intuition","Insight","Transformation"]</t>
        </is>
      </c>
      <c r="AK305" t="b">
        <v>0</v>
      </c>
      <c r="AL305" t="inlineStr">
        <is>
          <t>Unreviewed</t>
        </is>
      </c>
      <c r="AM305" t="inlineStr">
        <is>
          <t>Not Started</t>
        </is>
      </c>
      <c r="AN305" t="inlineStr">
        <is>
          <t>Not Started</t>
        </is>
      </c>
      <c r="AO305" t="inlineStr">
        <is>
          <t>Not Started</t>
        </is>
      </c>
      <c r="AP305" t="inlineStr">
        <is>
          <t>Not Started</t>
        </is>
      </c>
      <c r="AR305" t="inlineStr">
        <is>
          <t>v0.3-2026-06-29</t>
        </is>
      </c>
      <c r="AT305" s="3" t="n"/>
    </row>
    <row r="306">
      <c r="A306" t="inlineStr">
        <is>
          <t>C-0296</t>
        </is>
      </c>
      <c r="B306" t="inlineStr">
        <is>
          <t>Creedite</t>
        </is>
      </c>
      <c r="D306" t="inlineStr">
        <is>
          <t>Sulfates</t>
        </is>
      </c>
      <c r="E306" t="inlineStr">
        <is>
          <t>Creedite</t>
        </is>
      </c>
      <c r="F306" t="n">
        <v>4</v>
      </c>
      <c r="G306" t="n">
        <v>30</v>
      </c>
      <c r="H306" t="n">
        <v>0</v>
      </c>
      <c r="I306" t="n">
        <v>0</v>
      </c>
      <c r="J306" t="inlineStr">
        <is>
          <t>Crazy Lace Agate</t>
        </is>
      </c>
      <c r="K306" t="inlineStr">
        <is>
          <t>crazy-lace-agate</t>
        </is>
      </c>
      <c r="L306" t="inlineStr">
        <is>
          <t>Cuprite</t>
        </is>
      </c>
      <c r="M306" t="inlineStr">
        <is>
          <t>cuprite</t>
        </is>
      </c>
      <c r="N306" t="b">
        <v>0</v>
      </c>
      <c r="O306" t="inlineStr">
        <is>
          <t>creedite</t>
        </is>
      </c>
      <c r="P306" t="inlineStr">
        <is>
          <t>Not Started</t>
        </is>
      </c>
      <c r="Q306" t="inlineStr">
        <is>
          <t>Crown</t>
        </is>
      </c>
      <c r="R306" t="inlineStr">
        <is>
          <t>Third Eye</t>
        </is>
      </c>
      <c r="S306" t="inlineStr">
        <is>
          <t>Crown</t>
        </is>
      </c>
      <c r="X306" t="inlineStr">
        <is>
          <t>Mineral</t>
        </is>
      </c>
      <c r="Z306" s="3" t="inlineStr">
        <is>
          <t>Clarifying higher purpose</t>
        </is>
      </c>
      <c r="AA306" s="3" t="inlineStr">
        <is>
          <t>Use when you… feel called toward something meaningful but cannot distinguish the true priority from surrounding noise.</t>
        </is>
      </c>
      <c r="AB306" s="3" t="n"/>
      <c r="AC306" t="inlineStr">
        <is>
          <t>Spiritual Connection</t>
        </is>
      </c>
      <c r="AD306" t="inlineStr">
        <is>
          <t>Clarity &amp; Focus</t>
        </is>
      </c>
      <c r="AF306" t="inlineStr">
        <is>
          <t>["Spirit","Purpose","Clarity"]</t>
        </is>
      </c>
      <c r="AK306" t="b">
        <v>0</v>
      </c>
      <c r="AL306" t="inlineStr">
        <is>
          <t>Unreviewed</t>
        </is>
      </c>
      <c r="AM306" t="inlineStr">
        <is>
          <t>Not Started</t>
        </is>
      </c>
      <c r="AN306" t="inlineStr">
        <is>
          <t>Not Started</t>
        </is>
      </c>
      <c r="AO306" t="inlineStr">
        <is>
          <t>Not Started</t>
        </is>
      </c>
      <c r="AP306" t="inlineStr">
        <is>
          <t>Not Started</t>
        </is>
      </c>
      <c r="AR306" t="inlineStr">
        <is>
          <t>v0.3-2026-06-29</t>
        </is>
      </c>
      <c r="AT306" s="3" t="n"/>
    </row>
    <row r="307">
      <c r="A307" t="inlineStr">
        <is>
          <t>C-0298</t>
        </is>
      </c>
      <c r="B307" t="inlineStr">
        <is>
          <t>Cuprite</t>
        </is>
      </c>
      <c r="D307" t="inlineStr">
        <is>
          <t>Oxides</t>
        </is>
      </c>
      <c r="E307" t="inlineStr">
        <is>
          <t>Cuprite</t>
        </is>
      </c>
      <c r="F307" t="n">
        <v>4</v>
      </c>
      <c r="G307" t="n">
        <v>30</v>
      </c>
      <c r="H307" t="n">
        <v>298</v>
      </c>
      <c r="I307" t="n">
        <v>298</v>
      </c>
      <c r="J307" t="inlineStr">
        <is>
          <t>Creedite</t>
        </is>
      </c>
      <c r="K307" t="inlineStr">
        <is>
          <t>creedite</t>
        </is>
      </c>
      <c r="L307" t="inlineStr">
        <is>
          <t>Dalmatian Jasper</t>
        </is>
      </c>
      <c r="M307" t="inlineStr">
        <is>
          <t>dalmatian-jasper</t>
        </is>
      </c>
      <c r="N307" t="b">
        <v>0</v>
      </c>
      <c r="O307" t="inlineStr">
        <is>
          <t>cuprite</t>
        </is>
      </c>
      <c r="P307" t="inlineStr">
        <is>
          <t>Not Started</t>
        </is>
      </c>
      <c r="Q307" t="inlineStr">
        <is>
          <t>Root</t>
        </is>
      </c>
      <c r="R307" t="inlineStr">
        <is>
          <t>Sacral</t>
        </is>
      </c>
      <c r="S307" t="inlineStr">
        <is>
          <t>Root</t>
        </is>
      </c>
      <c r="X307" t="inlineStr">
        <is>
          <t>Mineral</t>
        </is>
      </c>
      <c r="Z307" s="3" t="inlineStr">
        <is>
          <t>Returning to the body</t>
        </is>
      </c>
      <c r="AA307" s="3" t="inlineStr">
        <is>
          <t>Use when you… feel mentally or spiritually scattered and need to return your attention to immediate physical reality.</t>
        </is>
      </c>
      <c r="AB307" s="3" t="n"/>
      <c r="AC307" t="inlineStr">
        <is>
          <t>Vitality</t>
        </is>
      </c>
      <c r="AD307" t="inlineStr">
        <is>
          <t>Grounding</t>
        </is>
      </c>
      <c r="AF307" t="inlineStr">
        <is>
          <t>["Embodiment","Vitality","Grounding"]</t>
        </is>
      </c>
      <c r="AK307" t="b">
        <v>0</v>
      </c>
      <c r="AL307" t="inlineStr">
        <is>
          <t>Unreviewed</t>
        </is>
      </c>
      <c r="AM307" t="inlineStr">
        <is>
          <t>Not Started</t>
        </is>
      </c>
      <c r="AN307" t="inlineStr">
        <is>
          <t>Not Started</t>
        </is>
      </c>
      <c r="AO307" t="inlineStr">
        <is>
          <t>Not Started</t>
        </is>
      </c>
      <c r="AP307" t="inlineStr">
        <is>
          <t>Not Started</t>
        </is>
      </c>
      <c r="AR307" t="inlineStr">
        <is>
          <t>v0.3-2026-06-29</t>
        </is>
      </c>
      <c r="AT307" s="3" t="n"/>
    </row>
    <row r="308">
      <c r="A308" t="inlineStr">
        <is>
          <t>C-0235</t>
        </is>
      </c>
      <c r="B308" t="inlineStr">
        <is>
          <t>Diaspore</t>
        </is>
      </c>
      <c r="D308" t="inlineStr">
        <is>
          <t>Oxides</t>
        </is>
      </c>
      <c r="E308" t="inlineStr">
        <is>
          <t>Diaspore</t>
        </is>
      </c>
      <c r="F308" t="n">
        <v>4</v>
      </c>
      <c r="G308" t="n">
        <v>30</v>
      </c>
      <c r="H308" t="n">
        <v>235</v>
      </c>
      <c r="I308" t="n">
        <v>235</v>
      </c>
      <c r="J308" t="inlineStr">
        <is>
          <t>Desert Rose</t>
        </is>
      </c>
      <c r="K308" t="inlineStr">
        <is>
          <t>desert-rose</t>
        </is>
      </c>
      <c r="L308" t="inlineStr">
        <is>
          <t>Diopside</t>
        </is>
      </c>
      <c r="M308" t="inlineStr">
        <is>
          <t>diopside</t>
        </is>
      </c>
      <c r="N308" t="b">
        <v>0</v>
      </c>
      <c r="O308" t="inlineStr">
        <is>
          <t>diaspore</t>
        </is>
      </c>
      <c r="P308" t="inlineStr">
        <is>
          <t>Not Started</t>
        </is>
      </c>
      <c r="Q308" t="inlineStr">
        <is>
          <t>Third Eye</t>
        </is>
      </c>
      <c r="R308" t="inlineStr">
        <is>
          <t>Solar Plexus</t>
        </is>
      </c>
      <c r="S308" t="inlineStr">
        <is>
          <t>Third Eye</t>
        </is>
      </c>
      <c r="X308" t="inlineStr">
        <is>
          <t>Mineral</t>
        </is>
      </c>
      <c r="Z308" s="3" t="inlineStr">
        <is>
          <t>Allowing gradual change</t>
        </is>
      </c>
      <c r="AA308" s="3" t="inlineStr">
        <is>
          <t>Use when you… are judging a transition too early and need to let the full picture develop before reaching a conclusion.</t>
        </is>
      </c>
      <c r="AB308" s="3" t="n"/>
      <c r="AC308" t="inlineStr">
        <is>
          <t>Clarity &amp; Focus</t>
        </is>
      </c>
      <c r="AD308" t="inlineStr">
        <is>
          <t>Transformation</t>
        </is>
      </c>
      <c r="AF308" t="inlineStr">
        <is>
          <t>["Adaptability","Transformation","Insight"]</t>
        </is>
      </c>
      <c r="AK308" t="b">
        <v>0</v>
      </c>
      <c r="AL308" t="inlineStr">
        <is>
          <t>Unreviewed</t>
        </is>
      </c>
      <c r="AM308" t="inlineStr">
        <is>
          <t>Not Started</t>
        </is>
      </c>
      <c r="AN308" t="inlineStr">
        <is>
          <t>Not Started</t>
        </is>
      </c>
      <c r="AO308" t="inlineStr">
        <is>
          <t>Not Started</t>
        </is>
      </c>
      <c r="AP308" t="inlineStr">
        <is>
          <t>Not Started</t>
        </is>
      </c>
      <c r="AR308" t="inlineStr">
        <is>
          <t>v0.3-2026-06-29</t>
        </is>
      </c>
      <c r="AT308" s="3" t="n"/>
    </row>
    <row r="309">
      <c r="A309" t="inlineStr">
        <is>
          <t>C-0367</t>
        </is>
      </c>
      <c r="B309" t="inlineStr">
        <is>
          <t>Enhydro Quartz</t>
        </is>
      </c>
      <c r="C309" t="inlineStr">
        <is>
          <t>Enhydro Crystal; Water Bubble Quartz</t>
        </is>
      </c>
      <c r="D309" t="inlineStr">
        <is>
          <t>Quartz</t>
        </is>
      </c>
      <c r="E309" t="inlineStr">
        <is>
          <t>Quartz</t>
        </is>
      </c>
      <c r="F309" t="n">
        <v>4</v>
      </c>
      <c r="G309" t="n">
        <v>30</v>
      </c>
      <c r="H309" t="n">
        <v>0</v>
      </c>
      <c r="I309" t="n">
        <v>0</v>
      </c>
      <c r="J309" t="inlineStr">
        <is>
          <t>Emerald</t>
        </is>
      </c>
      <c r="K309" t="inlineStr">
        <is>
          <t>emerald</t>
        </is>
      </c>
      <c r="L309" t="inlineStr">
        <is>
          <t>Epidote</t>
        </is>
      </c>
      <c r="M309" t="inlineStr">
        <is>
          <t>epidote</t>
        </is>
      </c>
      <c r="N309" t="b">
        <v>0</v>
      </c>
      <c r="O309" t="inlineStr">
        <is>
          <t>enhydro-quartz</t>
        </is>
      </c>
      <c r="P309" t="inlineStr">
        <is>
          <t>Not Started</t>
        </is>
      </c>
      <c r="Q309" t="inlineStr">
        <is>
          <t>Crown</t>
        </is>
      </c>
      <c r="R309" t="inlineStr">
        <is>
          <t>Sacral</t>
        </is>
      </c>
      <c r="S309" t="inlineStr">
        <is>
          <t>Crown</t>
        </is>
      </c>
      <c r="X309" t="inlineStr">
        <is>
          <t>Mineral</t>
        </is>
      </c>
      <c r="Z309" s="3" t="inlineStr">
        <is>
          <t>Honoring long processes</t>
        </is>
      </c>
      <c r="AA309" s="3" t="inlineStr">
        <is>
          <t>Use when you… are frustrated by slow progress and need perspective on how much has already changed beneath the surface.</t>
        </is>
      </c>
      <c r="AB309" s="3" t="n"/>
      <c r="AC309" t="inlineStr">
        <is>
          <t>Emotional Balance</t>
        </is>
      </c>
      <c r="AD309" t="inlineStr">
        <is>
          <t>Intuition</t>
        </is>
      </c>
      <c r="AF309" t="inlineStr">
        <is>
          <t>["Patience","Wisdom","Reflection"]</t>
        </is>
      </c>
      <c r="AK309" t="b">
        <v>0</v>
      </c>
      <c r="AL309" t="inlineStr">
        <is>
          <t>Unreviewed</t>
        </is>
      </c>
      <c r="AM309" t="inlineStr">
        <is>
          <t>Not Started</t>
        </is>
      </c>
      <c r="AN309" t="inlineStr">
        <is>
          <t>Not Started</t>
        </is>
      </c>
      <c r="AO309" t="inlineStr">
        <is>
          <t>Not Started</t>
        </is>
      </c>
      <c r="AP309" t="inlineStr">
        <is>
          <t>Not Started</t>
        </is>
      </c>
      <c r="AR309" t="inlineStr">
        <is>
          <t>v0.3-2026-06-29</t>
        </is>
      </c>
      <c r="AT309" s="3" t="n"/>
    </row>
    <row r="310">
      <c r="A310" t="inlineStr">
        <is>
          <t>C-0310</t>
        </is>
      </c>
      <c r="B310" t="inlineStr">
        <is>
          <t>Gaspeite</t>
        </is>
      </c>
      <c r="D310" t="inlineStr">
        <is>
          <t>Carbonates</t>
        </is>
      </c>
      <c r="E310" t="inlineStr">
        <is>
          <t>Gaspeite</t>
        </is>
      </c>
      <c r="F310" t="n">
        <v>4</v>
      </c>
      <c r="G310" t="n">
        <v>30</v>
      </c>
      <c r="H310" t="n">
        <v>0</v>
      </c>
      <c r="I310" t="n">
        <v>0</v>
      </c>
      <c r="J310" t="inlineStr">
        <is>
          <t>Garnet</t>
        </is>
      </c>
      <c r="K310" t="inlineStr">
        <is>
          <t>garnet</t>
        </is>
      </c>
      <c r="L310" t="inlineStr">
        <is>
          <t>Goethite</t>
        </is>
      </c>
      <c r="M310" t="inlineStr">
        <is>
          <t>goethite</t>
        </is>
      </c>
      <c r="N310" t="b">
        <v>0</v>
      </c>
      <c r="O310" t="inlineStr">
        <is>
          <t>gaspeite</t>
        </is>
      </c>
      <c r="P310" t="inlineStr">
        <is>
          <t>Not Started</t>
        </is>
      </c>
      <c r="Q310" t="inlineStr">
        <is>
          <t>Heart</t>
        </is>
      </c>
      <c r="R310" t="inlineStr">
        <is>
          <t>Solar Plexus</t>
        </is>
      </c>
      <c r="S310" t="inlineStr">
        <is>
          <t>Heart</t>
        </is>
      </c>
      <c r="X310" t="inlineStr">
        <is>
          <t>Mineral</t>
        </is>
      </c>
      <c r="Z310" s="3" t="inlineStr">
        <is>
          <t>Resetting personal boundaries</t>
        </is>
      </c>
      <c r="AA310" s="3" t="inlineStr">
        <is>
          <t>Use when you… have said yes too often and need to reconsider what you can realistically continue carrying.</t>
        </is>
      </c>
      <c r="AB310" s="3" t="n"/>
      <c r="AC310" t="inlineStr">
        <is>
          <t>Heart Healing</t>
        </is>
      </c>
      <c r="AD310" t="inlineStr">
        <is>
          <t>Vitality</t>
        </is>
      </c>
      <c r="AF310" t="inlineStr">
        <is>
          <t>["Boundaries","Renewal","Grounding"]</t>
        </is>
      </c>
      <c r="AK310" t="b">
        <v>0</v>
      </c>
      <c r="AL310" t="inlineStr">
        <is>
          <t>Unreviewed</t>
        </is>
      </c>
      <c r="AM310" t="inlineStr">
        <is>
          <t>Not Started</t>
        </is>
      </c>
      <c r="AN310" t="inlineStr">
        <is>
          <t>Not Started</t>
        </is>
      </c>
      <c r="AO310" t="inlineStr">
        <is>
          <t>Not Started</t>
        </is>
      </c>
      <c r="AP310" t="inlineStr">
        <is>
          <t>Not Started</t>
        </is>
      </c>
      <c r="AR310" t="inlineStr">
        <is>
          <t>v0.3-2026-06-29</t>
        </is>
      </c>
      <c r="AT310" s="3" t="n"/>
    </row>
    <row r="311">
      <c r="A311" t="inlineStr">
        <is>
          <t>C-0049</t>
        </is>
      </c>
      <c r="B311" t="inlineStr">
        <is>
          <t>Healerite</t>
        </is>
      </c>
      <c r="D311" t="inlineStr">
        <is>
          <t>Serpentine</t>
        </is>
      </c>
      <c r="E311" t="inlineStr">
        <is>
          <t>Antigorite</t>
        </is>
      </c>
      <c r="F311" t="n">
        <v>4</v>
      </c>
      <c r="G311" t="n">
        <v>31</v>
      </c>
      <c r="H311" t="n">
        <v>49</v>
      </c>
      <c r="I311" t="n">
        <v>49</v>
      </c>
      <c r="J311" t="inlineStr">
        <is>
          <t>Healer's Gold</t>
        </is>
      </c>
      <c r="K311" t="inlineStr">
        <is>
          <t>healer-s-gold</t>
        </is>
      </c>
      <c r="L311" t="inlineStr">
        <is>
          <t>Heliodor</t>
        </is>
      </c>
      <c r="M311" t="inlineStr">
        <is>
          <t>heliodor</t>
        </is>
      </c>
      <c r="N311" t="b">
        <v>0</v>
      </c>
      <c r="O311" t="inlineStr">
        <is>
          <t>healerite</t>
        </is>
      </c>
      <c r="P311" t="inlineStr">
        <is>
          <t>Not Started</t>
        </is>
      </c>
      <c r="Q311" t="inlineStr">
        <is>
          <t>Heart</t>
        </is>
      </c>
      <c r="R311" t="inlineStr">
        <is>
          <t>Solar Plexus</t>
        </is>
      </c>
      <c r="S311" t="inlineStr">
        <is>
          <t>Heart</t>
        </is>
      </c>
      <c r="X311" t="inlineStr">
        <is>
          <t>Mineral</t>
        </is>
      </c>
      <c r="Z311" s="3" t="inlineStr">
        <is>
          <t>Gentle emotional renewal</t>
        </is>
      </c>
      <c r="AA311" s="3" t="inlineStr">
        <is>
          <t>Use when you… feel depleted by prolonged stress and need a quieter, less demanding way to reconnect with yourself.</t>
        </is>
      </c>
      <c r="AB311" s="3" t="n"/>
      <c r="AC311" t="inlineStr">
        <is>
          <t>Heart Healing</t>
        </is>
      </c>
      <c r="AD311" t="inlineStr">
        <is>
          <t>Calm &amp; Peace</t>
        </is>
      </c>
      <c r="AF311" t="inlineStr">
        <is>
          <t>["Healing","Calm","Renewal"]</t>
        </is>
      </c>
      <c r="AK311" t="b">
        <v>0</v>
      </c>
      <c r="AL311" t="inlineStr">
        <is>
          <t>Unreviewed</t>
        </is>
      </c>
      <c r="AM311" t="inlineStr">
        <is>
          <t>Not Started</t>
        </is>
      </c>
      <c r="AN311" t="inlineStr">
        <is>
          <t>Not Started</t>
        </is>
      </c>
      <c r="AO311" t="inlineStr">
        <is>
          <t>Not Started</t>
        </is>
      </c>
      <c r="AP311" t="inlineStr">
        <is>
          <t>Not Started</t>
        </is>
      </c>
      <c r="AR311" t="inlineStr">
        <is>
          <t>v0.3-2026-06-29</t>
        </is>
      </c>
      <c r="AT311" s="3" t="n"/>
    </row>
    <row r="312">
      <c r="A312" t="inlineStr">
        <is>
          <t>C-0023</t>
        </is>
      </c>
      <c r="B312" t="inlineStr">
        <is>
          <t>Heliodor</t>
        </is>
      </c>
      <c r="C312" t="inlineStr">
        <is>
          <t>Golden Beryl, Yellow Beryl</t>
        </is>
      </c>
      <c r="D312" t="inlineStr">
        <is>
          <t>Beryl</t>
        </is>
      </c>
      <c r="E312" t="inlineStr">
        <is>
          <t>Beryl</t>
        </is>
      </c>
      <c r="F312" t="n">
        <v>4</v>
      </c>
      <c r="G312" t="n">
        <v>31</v>
      </c>
      <c r="H312" t="n">
        <v>23</v>
      </c>
      <c r="I312" t="n">
        <v>23</v>
      </c>
      <c r="J312" t="inlineStr">
        <is>
          <t>Healerite</t>
        </is>
      </c>
      <c r="K312" t="inlineStr">
        <is>
          <t>healerite</t>
        </is>
      </c>
      <c r="L312" t="inlineStr">
        <is>
          <t>Hematite</t>
        </is>
      </c>
      <c r="M312" t="inlineStr">
        <is>
          <t>hematite</t>
        </is>
      </c>
      <c r="N312" t="b">
        <v>0</v>
      </c>
      <c r="O312" t="inlineStr">
        <is>
          <t>heliodor</t>
        </is>
      </c>
      <c r="P312" t="inlineStr">
        <is>
          <t>Not Started</t>
        </is>
      </c>
      <c r="Q312" t="inlineStr">
        <is>
          <t>Solar Plexus</t>
        </is>
      </c>
      <c r="R312" t="inlineStr">
        <is>
          <t>Crown</t>
        </is>
      </c>
      <c r="S312" t="inlineStr">
        <is>
          <t>Solar Plexus</t>
        </is>
      </c>
      <c r="X312" t="inlineStr">
        <is>
          <t>Mineral</t>
        </is>
      </c>
      <c r="Z312" s="3" t="inlineStr">
        <is>
          <t>Visible, confident leadership</t>
        </is>
      </c>
      <c r="AA312" s="3" t="inlineStr">
        <is>
          <t>Use when you… must take the lead, present an idea, or let your abilities be seen without shrinking back.</t>
        </is>
      </c>
      <c r="AB312" s="3" t="n"/>
      <c r="AC312" t="inlineStr">
        <is>
          <t>Protection</t>
        </is>
      </c>
      <c r="AD312" t="inlineStr">
        <is>
          <t>Clarity &amp; Focus</t>
        </is>
      </c>
      <c r="AF312" t="inlineStr">
        <is>
          <t>["Confidence","Clarity","Purpose"]</t>
        </is>
      </c>
      <c r="AK312" t="b">
        <v>0</v>
      </c>
      <c r="AL312" t="inlineStr">
        <is>
          <t>Unreviewed</t>
        </is>
      </c>
      <c r="AM312" t="inlineStr">
        <is>
          <t>Not Started</t>
        </is>
      </c>
      <c r="AN312" t="inlineStr">
        <is>
          <t>Not Started</t>
        </is>
      </c>
      <c r="AO312" t="inlineStr">
        <is>
          <t>Not Started</t>
        </is>
      </c>
      <c r="AP312" t="inlineStr">
        <is>
          <t>Not Started</t>
        </is>
      </c>
      <c r="AR312" t="inlineStr">
        <is>
          <t>v0.3-2026-06-29</t>
        </is>
      </c>
      <c r="AT312" s="3" t="n"/>
    </row>
    <row r="313">
      <c r="A313" t="inlineStr">
        <is>
          <t>C-0321</t>
        </is>
      </c>
      <c r="B313" t="inlineStr">
        <is>
          <t>Imperial Topaz</t>
        </is>
      </c>
      <c r="D313" t="inlineStr">
        <is>
          <t>Silicates</t>
        </is>
      </c>
      <c r="E313" t="inlineStr">
        <is>
          <t>Topaz</t>
        </is>
      </c>
      <c r="F313" t="n">
        <v>4</v>
      </c>
      <c r="G313" t="n">
        <v>31</v>
      </c>
      <c r="H313" t="n">
        <v>0</v>
      </c>
      <c r="I313" t="n">
        <v>0</v>
      </c>
      <c r="J313" t="inlineStr">
        <is>
          <t>Hypersthene</t>
        </is>
      </c>
      <c r="K313" t="inlineStr">
        <is>
          <t>hypersthene</t>
        </is>
      </c>
      <c r="L313" t="inlineStr">
        <is>
          <t>Indigo Gabbro</t>
        </is>
      </c>
      <c r="M313" t="inlineStr">
        <is>
          <t>indigo-gabbro</t>
        </is>
      </c>
      <c r="N313" t="b">
        <v>0</v>
      </c>
      <c r="O313" t="inlineStr">
        <is>
          <t>imperial-topaz</t>
        </is>
      </c>
      <c r="P313" t="inlineStr">
        <is>
          <t>Not Started</t>
        </is>
      </c>
      <c r="Q313" t="inlineStr">
        <is>
          <t>Solar Plexus</t>
        </is>
      </c>
      <c r="R313" t="inlineStr">
        <is>
          <t>Crown</t>
        </is>
      </c>
      <c r="S313" t="inlineStr">
        <is>
          <t>Solar Plexus</t>
        </is>
      </c>
      <c r="X313" t="inlineStr">
        <is>
          <t>Mineral</t>
        </is>
      </c>
      <c r="Z313" s="3" t="inlineStr">
        <is>
          <t>Owning your talents</t>
        </is>
      </c>
      <c r="AA313" s="3" t="inlineStr">
        <is>
          <t>Use when you… are ready to stop minimizing your abilities and invest energy in work that genuinely matters to you.</t>
        </is>
      </c>
      <c r="AB313" s="3" t="n"/>
      <c r="AC313" t="inlineStr">
        <is>
          <t>Confidence</t>
        </is>
      </c>
      <c r="AD313" t="inlineStr">
        <is>
          <t>Manifestation</t>
        </is>
      </c>
      <c r="AF313" t="inlineStr">
        <is>
          <t>["Confidence","Creativity","Purpose"]</t>
        </is>
      </c>
      <c r="AK313" t="b">
        <v>0</v>
      </c>
      <c r="AL313" t="inlineStr">
        <is>
          <t>Unreviewed</t>
        </is>
      </c>
      <c r="AM313" t="inlineStr">
        <is>
          <t>Not Started</t>
        </is>
      </c>
      <c r="AN313" t="inlineStr">
        <is>
          <t>Not Started</t>
        </is>
      </c>
      <c r="AO313" t="inlineStr">
        <is>
          <t>Not Started</t>
        </is>
      </c>
      <c r="AP313" t="inlineStr">
        <is>
          <t>Not Started</t>
        </is>
      </c>
      <c r="AR313" t="inlineStr">
        <is>
          <t>v0.3-2026-06-29</t>
        </is>
      </c>
      <c r="AT313" s="3" t="n"/>
    </row>
    <row r="314">
      <c r="A314" t="inlineStr">
        <is>
          <t>C-0062</t>
        </is>
      </c>
      <c r="B314" t="inlineStr">
        <is>
          <t>Jadeite</t>
        </is>
      </c>
      <c r="C314" t="inlineStr">
        <is>
          <t>Jade</t>
        </is>
      </c>
      <c r="D314" t="inlineStr">
        <is>
          <t>Silicates</t>
        </is>
      </c>
      <c r="E314" t="inlineStr">
        <is>
          <t>Jadeite</t>
        </is>
      </c>
      <c r="F314" t="n">
        <v>4</v>
      </c>
      <c r="G314" t="n">
        <v>31</v>
      </c>
      <c r="H314" t="n">
        <v>62</v>
      </c>
      <c r="I314" t="n">
        <v>62</v>
      </c>
      <c r="J314" t="inlineStr">
        <is>
          <t>Iolite</t>
        </is>
      </c>
      <c r="K314" t="inlineStr">
        <is>
          <t>iolite</t>
        </is>
      </c>
      <c r="L314" t="inlineStr">
        <is>
          <t>Jet</t>
        </is>
      </c>
      <c r="M314" t="inlineStr">
        <is>
          <t>jet</t>
        </is>
      </c>
      <c r="N314" t="b">
        <v>0</v>
      </c>
      <c r="O314" t="inlineStr">
        <is>
          <t>jadeite</t>
        </is>
      </c>
      <c r="P314" t="inlineStr">
        <is>
          <t>Not Started</t>
        </is>
      </c>
      <c r="Q314" t="inlineStr">
        <is>
          <t>Heart</t>
        </is>
      </c>
      <c r="S314" t="inlineStr">
        <is>
          <t>Heart</t>
        </is>
      </c>
      <c r="X314" t="inlineStr">
        <is>
          <t>Mineral</t>
        </is>
      </c>
      <c r="Z314" s="3" t="inlineStr">
        <is>
          <t>Values-based decisions</t>
        </is>
      </c>
      <c r="AA314" s="3" t="inlineStr">
        <is>
          <t>Use when you… are weighing an opportunity and want to choose what supports lasting well-being rather than immediate gratification.</t>
        </is>
      </c>
      <c r="AB314" s="3" t="n"/>
      <c r="AC314" t="inlineStr">
        <is>
          <t>Intuition</t>
        </is>
      </c>
      <c r="AD314" t="inlineStr">
        <is>
          <t>Protection</t>
        </is>
      </c>
      <c r="AF314" t="inlineStr">
        <is>
          <t>["Harmony","Wisdom","Abundance"]</t>
        </is>
      </c>
      <c r="AK314" t="b">
        <v>0</v>
      </c>
      <c r="AL314" t="inlineStr">
        <is>
          <t>Unreviewed</t>
        </is>
      </c>
      <c r="AM314" t="inlineStr">
        <is>
          <t>Not Started</t>
        </is>
      </c>
      <c r="AN314" t="inlineStr">
        <is>
          <t>Not Started</t>
        </is>
      </c>
      <c r="AO314" t="inlineStr">
        <is>
          <t>Not Started</t>
        </is>
      </c>
      <c r="AP314" t="inlineStr">
        <is>
          <t>Not Started</t>
        </is>
      </c>
      <c r="AR314" t="inlineStr">
        <is>
          <t>v0.3-2026-06-29</t>
        </is>
      </c>
      <c r="AT314" s="3" t="n"/>
    </row>
    <row r="315">
      <c r="A315" t="inlineStr">
        <is>
          <t>C-0242</t>
        </is>
      </c>
      <c r="B315" t="inlineStr">
        <is>
          <t>Lazulite</t>
        </is>
      </c>
      <c r="D315" t="inlineStr">
        <is>
          <t>Phosphates</t>
        </is>
      </c>
      <c r="E315" t="inlineStr">
        <is>
          <t>Lazulite</t>
        </is>
      </c>
      <c r="F315" t="n">
        <v>4</v>
      </c>
      <c r="G315" t="n">
        <v>31</v>
      </c>
      <c r="H315" t="n">
        <v>242</v>
      </c>
      <c r="I315" t="n">
        <v>242</v>
      </c>
      <c r="J315" t="inlineStr">
        <is>
          <t>Lavender Rose Quartz</t>
        </is>
      </c>
      <c r="K315" t="inlineStr">
        <is>
          <t>lavender-rose-quartz</t>
        </is>
      </c>
      <c r="L315" t="inlineStr">
        <is>
          <t>Lemurian Aquatine Calcite</t>
        </is>
      </c>
      <c r="M315" t="inlineStr">
        <is>
          <t>lemurian-aquatine-calcite</t>
        </is>
      </c>
      <c r="N315" t="b">
        <v>0</v>
      </c>
      <c r="O315" t="inlineStr">
        <is>
          <t>lazulite</t>
        </is>
      </c>
      <c r="P315" t="inlineStr">
        <is>
          <t>Not Started</t>
        </is>
      </c>
      <c r="Q315" t="inlineStr">
        <is>
          <t>Third Eye</t>
        </is>
      </c>
      <c r="R315" t="inlineStr">
        <is>
          <t>Crown</t>
        </is>
      </c>
      <c r="S315" t="inlineStr">
        <is>
          <t>Third Eye</t>
        </is>
      </c>
      <c r="X315" t="inlineStr">
        <is>
          <t>Mineral</t>
        </is>
      </c>
      <c r="Z315" s="3" t="inlineStr">
        <is>
          <t>Standing by your judgment</t>
        </is>
      </c>
      <c r="AA315" s="3" t="inlineStr">
        <is>
          <t>Use when you… have made a thoughtful decision but are becoming unsettled by other people’s conflicting opinions.</t>
        </is>
      </c>
      <c r="AB315" s="3" t="n"/>
      <c r="AC315" t="inlineStr">
        <is>
          <t>Clarity &amp; Focus</t>
        </is>
      </c>
      <c r="AD315" t="inlineStr">
        <is>
          <t>Communication</t>
        </is>
      </c>
      <c r="AF315" t="inlineStr">
        <is>
          <t>["Focus","Integrity","Discernment"]</t>
        </is>
      </c>
      <c r="AK315" t="b">
        <v>0</v>
      </c>
      <c r="AL315" t="inlineStr">
        <is>
          <t>Unreviewed</t>
        </is>
      </c>
      <c r="AM315" t="inlineStr">
        <is>
          <t>Not Started</t>
        </is>
      </c>
      <c r="AN315" t="inlineStr">
        <is>
          <t>Not Started</t>
        </is>
      </c>
      <c r="AO315" t="inlineStr">
        <is>
          <t>Not Started</t>
        </is>
      </c>
      <c r="AP315" t="inlineStr">
        <is>
          <t>Not Started</t>
        </is>
      </c>
      <c r="AR315" t="inlineStr">
        <is>
          <t>v0.3-2026-06-29</t>
        </is>
      </c>
      <c r="AT315" s="3" t="n"/>
    </row>
    <row r="316">
      <c r="A316" t="inlineStr">
        <is>
          <t>C-0255</t>
        </is>
      </c>
      <c r="B316" t="inlineStr">
        <is>
          <t>Libyan Desert Glass</t>
        </is>
      </c>
      <c r="C316" t="inlineStr">
        <is>
          <t>Libyan Gold Tektite</t>
        </is>
      </c>
      <c r="D316" t="inlineStr">
        <is>
          <t>Meteoritic Material</t>
        </is>
      </c>
      <c r="E316" t="inlineStr">
        <is>
          <t>Libyan Desert Glass</t>
        </is>
      </c>
      <c r="F316" t="n">
        <v>4</v>
      </c>
      <c r="G316" t="n">
        <v>31</v>
      </c>
      <c r="H316" t="n">
        <v>255</v>
      </c>
      <c r="I316" t="n">
        <v>255</v>
      </c>
      <c r="J316" t="inlineStr">
        <is>
          <t>Lepidolite</t>
        </is>
      </c>
      <c r="K316" t="inlineStr">
        <is>
          <t>lepidolite</t>
        </is>
      </c>
      <c r="L316" t="inlineStr">
        <is>
          <t>Lithium Quartz</t>
        </is>
      </c>
      <c r="M316" t="inlineStr">
        <is>
          <t>lithium-quartz</t>
        </is>
      </c>
      <c r="N316" t="b">
        <v>0</v>
      </c>
      <c r="O316" t="inlineStr">
        <is>
          <t>libyan-desert-glass</t>
        </is>
      </c>
      <c r="P316" t="inlineStr">
        <is>
          <t>Not Started</t>
        </is>
      </c>
      <c r="Q316" t="inlineStr">
        <is>
          <t>Solar Plexus</t>
        </is>
      </c>
      <c r="R316" t="inlineStr">
        <is>
          <t>Crown</t>
        </is>
      </c>
      <c r="S316" t="inlineStr">
        <is>
          <t>Solar Plexus</t>
        </is>
      </c>
      <c r="X316" t="inlineStr">
        <is>
          <t>Mineraloid</t>
        </is>
      </c>
      <c r="Z316" s="3" t="inlineStr">
        <is>
          <t>Reclaiming confidence</t>
        </is>
      </c>
      <c r="AA316" s="3" t="inlineStr">
        <is>
          <t>Use when you… are rebuilding after an unexpected disruption and need to remember that change has not erased your capabilities.</t>
        </is>
      </c>
      <c r="AB316" s="3" t="n"/>
      <c r="AC316" t="inlineStr">
        <is>
          <t>Protection</t>
        </is>
      </c>
      <c r="AD316" t="inlineStr">
        <is>
          <t>Confidence</t>
        </is>
      </c>
      <c r="AF316" t="inlineStr">
        <is>
          <t>["Resilience","Confidence","Transformation"]</t>
        </is>
      </c>
      <c r="AK316" t="b">
        <v>0</v>
      </c>
      <c r="AL316" t="inlineStr">
        <is>
          <t>Unreviewed</t>
        </is>
      </c>
      <c r="AM316" t="inlineStr">
        <is>
          <t>Not Started</t>
        </is>
      </c>
      <c r="AN316" t="inlineStr">
        <is>
          <t>Not Started</t>
        </is>
      </c>
      <c r="AO316" t="inlineStr">
        <is>
          <t>Not Started</t>
        </is>
      </c>
      <c r="AP316" t="inlineStr">
        <is>
          <t>Not Started</t>
        </is>
      </c>
      <c r="AR316" t="inlineStr">
        <is>
          <t>v0.3-2026-06-29</t>
        </is>
      </c>
      <c r="AT316" s="3" t="n"/>
    </row>
    <row r="317">
      <c r="A317" t="inlineStr">
        <is>
          <t>C-0257</t>
        </is>
      </c>
      <c r="B317" t="inlineStr">
        <is>
          <t>Meteorite</t>
        </is>
      </c>
      <c r="D317" t="inlineStr">
        <is>
          <t>Meteoritic Material</t>
        </is>
      </c>
      <c r="E317" t="inlineStr">
        <is>
          <t>Meteorite</t>
        </is>
      </c>
      <c r="F317" t="n">
        <v>4</v>
      </c>
      <c r="G317" t="n">
        <v>31</v>
      </c>
      <c r="H317" t="n">
        <v>257</v>
      </c>
      <c r="I317" t="n">
        <v>257</v>
      </c>
      <c r="J317" t="inlineStr">
        <is>
          <t>Merlinite</t>
        </is>
      </c>
      <c r="K317" t="inlineStr">
        <is>
          <t>merlinite</t>
        </is>
      </c>
      <c r="L317" t="inlineStr">
        <is>
          <t>Milky Quartz</t>
        </is>
      </c>
      <c r="M317" t="inlineStr">
        <is>
          <t>milky-quartz</t>
        </is>
      </c>
      <c r="N317" t="b">
        <v>0</v>
      </c>
      <c r="O317" t="inlineStr">
        <is>
          <t>meteorite</t>
        </is>
      </c>
      <c r="P317" t="inlineStr">
        <is>
          <t>Not Started</t>
        </is>
      </c>
      <c r="Q317" t="inlineStr">
        <is>
          <t>Crown</t>
        </is>
      </c>
      <c r="R317" t="inlineStr">
        <is>
          <t>Root</t>
        </is>
      </c>
      <c r="S317" t="inlineStr">
        <is>
          <t>Crown</t>
        </is>
      </c>
      <c r="X317" t="inlineStr">
        <is>
          <t>Rock</t>
        </is>
      </c>
      <c r="Z317" s="3" t="inlineStr">
        <is>
          <t>Seeing the larger picture</t>
        </is>
      </c>
      <c r="AA317" s="3" t="inlineStr">
        <is>
          <t>Use when you… are consumed by an immediate problem and need enough distance to recognize its true scale and importance.</t>
        </is>
      </c>
      <c r="AB317" s="3" t="n"/>
      <c r="AC317" t="inlineStr">
        <is>
          <t>Transformation</t>
        </is>
      </c>
      <c r="AD317" t="inlineStr">
        <is>
          <t>Spiritual Connection</t>
        </is>
      </c>
      <c r="AF317" t="inlineStr">
        <is>
          <t>["Awareness","Purpose","Transformation"]</t>
        </is>
      </c>
      <c r="AJ317" t="inlineStr">
        <is>
          <t>Specialist nomenclature review</t>
        </is>
      </c>
      <c r="AK317" t="b">
        <v>0</v>
      </c>
      <c r="AL317" t="inlineStr">
        <is>
          <t>Unreviewed</t>
        </is>
      </c>
      <c r="AM317" t="inlineStr">
        <is>
          <t>Not Started</t>
        </is>
      </c>
      <c r="AN317" t="inlineStr">
        <is>
          <t>Not Started</t>
        </is>
      </c>
      <c r="AO317" t="inlineStr">
        <is>
          <t>Not Started</t>
        </is>
      </c>
      <c r="AP317" t="inlineStr">
        <is>
          <t>Not Started</t>
        </is>
      </c>
      <c r="AR317" t="inlineStr">
        <is>
          <t>v0.3-2026-06-29</t>
        </is>
      </c>
      <c r="AT317" s="3" t="inlineStr">
        <is>
          <t>Broad market category spanning multiple meteorite types; Rock is an editorial simplification — stony, iron, and stony-iron meteorites have distinct compositions.</t>
        </is>
      </c>
    </row>
    <row r="318">
      <c r="A318" t="inlineStr">
        <is>
          <t>C-0259</t>
        </is>
      </c>
      <c r="B318" t="inlineStr">
        <is>
          <t>Moldavite</t>
        </is>
      </c>
      <c r="D318" t="inlineStr">
        <is>
          <t>Meteoritic Material</t>
        </is>
      </c>
      <c r="E318" t="inlineStr">
        <is>
          <t>Moldavite</t>
        </is>
      </c>
      <c r="F318" t="n">
        <v>4</v>
      </c>
      <c r="G318" t="n">
        <v>31</v>
      </c>
      <c r="H318" t="n">
        <v>259</v>
      </c>
      <c r="I318" t="n">
        <v>259</v>
      </c>
      <c r="J318" t="inlineStr">
        <is>
          <t>Milky Quartz</t>
        </is>
      </c>
      <c r="K318" t="inlineStr">
        <is>
          <t>milky-quartz</t>
        </is>
      </c>
      <c r="L318" t="inlineStr">
        <is>
          <t>Mookaite Jasper</t>
        </is>
      </c>
      <c r="M318" t="inlineStr">
        <is>
          <t>mookaite-jasper</t>
        </is>
      </c>
      <c r="N318" t="b">
        <v>0</v>
      </c>
      <c r="O318" t="inlineStr">
        <is>
          <t>moldavite</t>
        </is>
      </c>
      <c r="P318" t="inlineStr">
        <is>
          <t>Not Started</t>
        </is>
      </c>
      <c r="Q318" t="inlineStr">
        <is>
          <t>Heart</t>
        </is>
      </c>
      <c r="R318" t="inlineStr">
        <is>
          <t>Third Eye</t>
        </is>
      </c>
      <c r="S318" t="inlineStr">
        <is>
          <t>Heart</t>
        </is>
      </c>
      <c r="X318" t="inlineStr">
        <is>
          <t>Mineraloid</t>
        </is>
      </c>
      <c r="Z318" s="3" t="inlineStr">
        <is>
          <t>Breaking entrenched patterns</t>
        </is>
      </c>
      <c r="AA318" s="3" t="inlineStr">
        <is>
          <t>Use when you… know an old identity or pattern has become too restrictive and are prepared to make a meaningful change.</t>
        </is>
      </c>
      <c r="AB318" s="3" t="n"/>
      <c r="AC318" t="inlineStr">
        <is>
          <t>Transformation</t>
        </is>
      </c>
      <c r="AD318" t="inlineStr">
        <is>
          <t>Spiritual Connection</t>
        </is>
      </c>
      <c r="AF318" t="inlineStr">
        <is>
          <t>["Transformation","Freedom","Breakthrough"]</t>
        </is>
      </c>
      <c r="AK318" t="b">
        <v>0</v>
      </c>
      <c r="AL318" t="inlineStr">
        <is>
          <t>Unreviewed</t>
        </is>
      </c>
      <c r="AM318" t="inlineStr">
        <is>
          <t>Not Started</t>
        </is>
      </c>
      <c r="AN318" t="inlineStr">
        <is>
          <t>Not Started</t>
        </is>
      </c>
      <c r="AO318" t="inlineStr">
        <is>
          <t>Not Started</t>
        </is>
      </c>
      <c r="AP318" t="inlineStr">
        <is>
          <t>Not Started</t>
        </is>
      </c>
      <c r="AR318" t="inlineStr">
        <is>
          <t>v0.3-2026-06-29</t>
        </is>
      </c>
      <c r="AT318" s="3" t="n"/>
    </row>
    <row r="319">
      <c r="A319" t="inlineStr">
        <is>
          <t>C-0261</t>
        </is>
      </c>
      <c r="B319" t="inlineStr">
        <is>
          <t>Natrolite</t>
        </is>
      </c>
      <c r="D319" t="inlineStr">
        <is>
          <t>Silicates</t>
        </is>
      </c>
      <c r="E319" t="inlineStr">
        <is>
          <t>Natrolite</t>
        </is>
      </c>
      <c r="F319" t="n">
        <v>4</v>
      </c>
      <c r="G319" t="n">
        <v>31</v>
      </c>
      <c r="H319" t="n">
        <v>261</v>
      </c>
      <c r="I319" t="n">
        <v>261</v>
      </c>
      <c r="J319" t="inlineStr">
        <is>
          <t>Muscovite</t>
        </is>
      </c>
      <c r="K319" t="inlineStr">
        <is>
          <t>muscovite</t>
        </is>
      </c>
      <c r="L319" t="inlineStr">
        <is>
          <t>Nephrite Jade</t>
        </is>
      </c>
      <c r="M319" t="inlineStr">
        <is>
          <t>nephrite-jade</t>
        </is>
      </c>
      <c r="N319" t="b">
        <v>0</v>
      </c>
      <c r="O319" t="inlineStr">
        <is>
          <t>natrolite</t>
        </is>
      </c>
      <c r="P319" t="inlineStr">
        <is>
          <t>Not Started</t>
        </is>
      </c>
      <c r="Q319" t="inlineStr">
        <is>
          <t>Crown</t>
        </is>
      </c>
      <c r="R319" t="inlineStr">
        <is>
          <t>Third Eye</t>
        </is>
      </c>
      <c r="S319" t="inlineStr">
        <is>
          <t>Crown</t>
        </is>
      </c>
      <c r="X319" t="inlineStr">
        <is>
          <t>Mineral</t>
        </is>
      </c>
      <c r="Z319" s="3" t="inlineStr">
        <is>
          <t>Quiet spiritual focus</t>
        </is>
      </c>
      <c r="AA319" s="3" t="inlineStr">
        <is>
          <t>Use when you… want to meditate but your thoughts keep pulling your attention in several directions.</t>
        </is>
      </c>
      <c r="AB319" s="3" t="n"/>
      <c r="AC319" t="inlineStr">
        <is>
          <t>Joy</t>
        </is>
      </c>
      <c r="AD319" t="inlineStr">
        <is>
          <t>Clarity &amp; Focus</t>
        </is>
      </c>
      <c r="AF319" t="inlineStr">
        <is>
          <t>["Calm","Alignment","Spirit"]</t>
        </is>
      </c>
      <c r="AK319" t="b">
        <v>0</v>
      </c>
      <c r="AL319" t="inlineStr">
        <is>
          <t>Unreviewed</t>
        </is>
      </c>
      <c r="AM319" t="inlineStr">
        <is>
          <t>Not Started</t>
        </is>
      </c>
      <c r="AN319" t="inlineStr">
        <is>
          <t>Not Started</t>
        </is>
      </c>
      <c r="AO319" t="inlineStr">
        <is>
          <t>Not Started</t>
        </is>
      </c>
      <c r="AP319" t="inlineStr">
        <is>
          <t>Not Started</t>
        </is>
      </c>
      <c r="AR319" t="inlineStr">
        <is>
          <t>v0.3-2026-06-29</t>
        </is>
      </c>
      <c r="AT319" s="3" t="n"/>
    </row>
    <row r="320">
      <c r="A320" t="inlineStr">
        <is>
          <t>C-0191</t>
        </is>
      </c>
      <c r="B320" t="inlineStr">
        <is>
          <t>Nuumite</t>
        </is>
      </c>
      <c r="D320" t="inlineStr">
        <is>
          <t>Aggregate</t>
        </is>
      </c>
      <c r="E320" t="inlineStr">
        <is>
          <t>Anthophyllite; Gedrite</t>
        </is>
      </c>
      <c r="F320" t="n">
        <v>4</v>
      </c>
      <c r="G320" t="n">
        <v>31</v>
      </c>
      <c r="H320" t="n">
        <v>191</v>
      </c>
      <c r="I320" t="n">
        <v>191</v>
      </c>
      <c r="J320" t="inlineStr">
        <is>
          <t>Nephrite Jade</t>
        </is>
      </c>
      <c r="K320" t="inlineStr">
        <is>
          <t>nephrite-jade</t>
        </is>
      </c>
      <c r="L320" t="inlineStr">
        <is>
          <t>Ocean Jasper</t>
        </is>
      </c>
      <c r="M320" t="inlineStr">
        <is>
          <t>ocean-jasper</t>
        </is>
      </c>
      <c r="N320" t="b">
        <v>0</v>
      </c>
      <c r="O320" t="inlineStr">
        <is>
          <t>nuumite</t>
        </is>
      </c>
      <c r="P320" t="inlineStr">
        <is>
          <t>Not Started</t>
        </is>
      </c>
      <c r="Q320" t="inlineStr">
        <is>
          <t>Root</t>
        </is>
      </c>
      <c r="R320" t="inlineStr">
        <is>
          <t>Third Eye</t>
        </is>
      </c>
      <c r="S320" t="inlineStr">
        <is>
          <t>Root</t>
        </is>
      </c>
      <c r="X320" t="inlineStr">
        <is>
          <t>Rock</t>
        </is>
      </c>
      <c r="Z320" s="3" t="inlineStr">
        <is>
          <t>Reclaiming personal power</t>
        </is>
      </c>
      <c r="AA320" s="3" t="inlineStr">
        <is>
          <t>Use when you… notice that fear, shame, or another person’s expectations are influencing a decision that should be yours.</t>
        </is>
      </c>
      <c r="AB320" s="3" t="n"/>
      <c r="AC320" t="inlineStr">
        <is>
          <t>Transformation</t>
        </is>
      </c>
      <c r="AD320" t="inlineStr">
        <is>
          <t>Confidence</t>
        </is>
      </c>
      <c r="AE320" t="inlineStr">
        <is>
          <t>Grounding</t>
        </is>
      </c>
      <c r="AF320" t="inlineStr">
        <is>
          <t>["Sovereignty","Protection","Insight"]</t>
        </is>
      </c>
      <c r="AK320" t="b">
        <v>0</v>
      </c>
      <c r="AL320" t="inlineStr">
        <is>
          <t>Unreviewed</t>
        </is>
      </c>
      <c r="AM320" t="inlineStr">
        <is>
          <t>Not Started</t>
        </is>
      </c>
      <c r="AN320" t="inlineStr">
        <is>
          <t>Not Started</t>
        </is>
      </c>
      <c r="AO320" t="inlineStr">
        <is>
          <t>Not Started</t>
        </is>
      </c>
      <c r="AP320" t="inlineStr">
        <is>
          <t>Not Started</t>
        </is>
      </c>
      <c r="AR320" t="inlineStr">
        <is>
          <t>v0.3-2026-06-29</t>
        </is>
      </c>
      <c r="AT320" s="3" t="n"/>
    </row>
    <row r="321">
      <c r="A321" t="inlineStr">
        <is>
          <t>C-0330</t>
        </is>
      </c>
      <c r="B321" t="inlineStr">
        <is>
          <t>Papagoite</t>
        </is>
      </c>
      <c r="D321" t="inlineStr">
        <is>
          <t>Silicates</t>
        </is>
      </c>
      <c r="E321" t="inlineStr">
        <is>
          <t>Papagoite</t>
        </is>
      </c>
      <c r="F321" t="n">
        <v>4</v>
      </c>
      <c r="G321" t="n">
        <v>31</v>
      </c>
      <c r="H321" t="n">
        <v>0</v>
      </c>
      <c r="I321" t="n">
        <v>0</v>
      </c>
      <c r="J321" t="inlineStr">
        <is>
          <t>Orthoceras</t>
        </is>
      </c>
      <c r="K321" t="inlineStr">
        <is>
          <t>orthoceras</t>
        </is>
      </c>
      <c r="L321" t="inlineStr">
        <is>
          <t>Peach Moonstone</t>
        </is>
      </c>
      <c r="M321" t="inlineStr">
        <is>
          <t>peach-moonstone</t>
        </is>
      </c>
      <c r="N321" t="b">
        <v>0</v>
      </c>
      <c r="O321" t="inlineStr">
        <is>
          <t>papagoite</t>
        </is>
      </c>
      <c r="P321" t="inlineStr">
        <is>
          <t>Not Started</t>
        </is>
      </c>
      <c r="Q321" t="inlineStr">
        <is>
          <t>Throat</t>
        </is>
      </c>
      <c r="R321" t="inlineStr">
        <is>
          <t>Third Eye</t>
        </is>
      </c>
      <c r="S321" t="inlineStr">
        <is>
          <t>Throat</t>
        </is>
      </c>
      <c r="X321" t="inlineStr">
        <is>
          <t>Mineral</t>
        </is>
      </c>
      <c r="Z321" s="3" t="inlineStr">
        <is>
          <t>Heartfelt truth-telling</t>
        </is>
      </c>
      <c r="AA321" s="3" t="inlineStr">
        <is>
          <t>Use when you… need to say something emotionally important without abandoning either honesty or kindness.</t>
        </is>
      </c>
      <c r="AB321" s="3" t="n"/>
      <c r="AC321" t="inlineStr">
        <is>
          <t>Calm &amp; Peace</t>
        </is>
      </c>
      <c r="AD321" t="inlineStr">
        <is>
          <t>Spiritual Connection</t>
        </is>
      </c>
      <c r="AF321" t="inlineStr">
        <is>
          <t>["Truth","Communication","Compassion"]</t>
        </is>
      </c>
      <c r="AK321" t="b">
        <v>0</v>
      </c>
      <c r="AL321" t="inlineStr">
        <is>
          <t>Unreviewed</t>
        </is>
      </c>
      <c r="AM321" t="inlineStr">
        <is>
          <t>Not Started</t>
        </is>
      </c>
      <c r="AN321" t="inlineStr">
        <is>
          <t>Not Started</t>
        </is>
      </c>
      <c r="AO321" t="inlineStr">
        <is>
          <t>Not Started</t>
        </is>
      </c>
      <c r="AP321" t="inlineStr">
        <is>
          <t>Not Started</t>
        </is>
      </c>
      <c r="AR321" t="inlineStr">
        <is>
          <t>v0.3-2026-06-29</t>
        </is>
      </c>
      <c r="AT321" s="3" t="n"/>
    </row>
    <row r="322">
      <c r="A322" t="inlineStr">
        <is>
          <t>C-0332</t>
        </is>
      </c>
      <c r="B322" t="inlineStr">
        <is>
          <t>Phenakite</t>
        </is>
      </c>
      <c r="C322" t="inlineStr">
        <is>
          <t>Phenacite</t>
        </is>
      </c>
      <c r="D322" t="inlineStr">
        <is>
          <t>Silicates</t>
        </is>
      </c>
      <c r="E322" t="inlineStr">
        <is>
          <t>Phenakite</t>
        </is>
      </c>
      <c r="F322" t="n">
        <v>4</v>
      </c>
      <c r="G322" t="n">
        <v>31</v>
      </c>
      <c r="H322" t="n">
        <v>0</v>
      </c>
      <c r="I322" t="n">
        <v>0</v>
      </c>
      <c r="J322" t="inlineStr">
        <is>
          <t>Phantom Quartz</t>
        </is>
      </c>
      <c r="K322" t="inlineStr">
        <is>
          <t>phantom-quartz</t>
        </is>
      </c>
      <c r="L322" t="inlineStr">
        <is>
          <t>Phoenix Stone</t>
        </is>
      </c>
      <c r="M322" t="inlineStr">
        <is>
          <t>phoenix-stone</t>
        </is>
      </c>
      <c r="N322" t="b">
        <v>0</v>
      </c>
      <c r="O322" t="inlineStr">
        <is>
          <t>phenakite</t>
        </is>
      </c>
      <c r="P322" t="inlineStr">
        <is>
          <t>Not Started</t>
        </is>
      </c>
      <c r="Q322" t="inlineStr">
        <is>
          <t>Crown</t>
        </is>
      </c>
      <c r="R322" t="inlineStr">
        <is>
          <t>Third Eye</t>
        </is>
      </c>
      <c r="S322" t="inlineStr">
        <is>
          <t>Crown</t>
        </is>
      </c>
      <c r="X322" t="inlineStr">
        <is>
          <t>Mineral</t>
        </is>
      </c>
      <c r="Z322" s="3" t="inlineStr">
        <is>
          <t>Focused higher awareness</t>
        </is>
      </c>
      <c r="AA322" s="3" t="inlineStr">
        <is>
          <t>Use when you… need to examine a subtle issue without becoming distracted by secondary concerns.</t>
        </is>
      </c>
      <c r="AB322" s="3" t="n"/>
      <c r="AC322" t="inlineStr">
        <is>
          <t>Spiritual Connection</t>
        </is>
      </c>
      <c r="AD322" t="inlineStr">
        <is>
          <t>Amplification</t>
        </is>
      </c>
      <c r="AF322" t="inlineStr">
        <is>
          <t>["Awareness","Clarity","Attunement"]</t>
        </is>
      </c>
      <c r="AK322" t="b">
        <v>0</v>
      </c>
      <c r="AL322" t="inlineStr">
        <is>
          <t>Unreviewed</t>
        </is>
      </c>
      <c r="AM322" t="inlineStr">
        <is>
          <t>Not Started</t>
        </is>
      </c>
      <c r="AN322" t="inlineStr">
        <is>
          <t>Not Started</t>
        </is>
      </c>
      <c r="AO322" t="inlineStr">
        <is>
          <t>Not Started</t>
        </is>
      </c>
      <c r="AP322" t="inlineStr">
        <is>
          <t>Not Started</t>
        </is>
      </c>
      <c r="AR322" t="inlineStr">
        <is>
          <t>v0.3-2026-06-29</t>
        </is>
      </c>
      <c r="AT322" s="3" t="n"/>
    </row>
    <row r="323">
      <c r="A323" t="inlineStr">
        <is>
          <t>C-0193</t>
        </is>
      </c>
      <c r="B323" t="inlineStr">
        <is>
          <t>Prophecy Stone</t>
        </is>
      </c>
      <c r="D323" t="inlineStr">
        <is>
          <t>Oxides</t>
        </is>
      </c>
      <c r="E323" t="inlineStr">
        <is>
          <t>Hematite; Goethite; Marcasite</t>
        </is>
      </c>
      <c r="F323" t="n">
        <v>4</v>
      </c>
      <c r="G323" t="n">
        <v>32</v>
      </c>
      <c r="H323" t="n">
        <v>193</v>
      </c>
      <c r="I323" t="n">
        <v>193</v>
      </c>
      <c r="J323" t="inlineStr">
        <is>
          <t>Prehnite</t>
        </is>
      </c>
      <c r="K323" t="inlineStr">
        <is>
          <t>prehnite</t>
        </is>
      </c>
      <c r="L323" t="inlineStr">
        <is>
          <t>Purple Chalcedony</t>
        </is>
      </c>
      <c r="M323" t="inlineStr">
        <is>
          <t>purple-chalcedony</t>
        </is>
      </c>
      <c r="N323" t="b">
        <v>0</v>
      </c>
      <c r="O323" t="inlineStr">
        <is>
          <t>prophecy-stone</t>
        </is>
      </c>
      <c r="P323" t="inlineStr">
        <is>
          <t>Not Started</t>
        </is>
      </c>
      <c r="Q323" t="inlineStr">
        <is>
          <t>Third Eye</t>
        </is>
      </c>
      <c r="R323" t="inlineStr">
        <is>
          <t>Root</t>
        </is>
      </c>
      <c r="S323" t="inlineStr">
        <is>
          <t>Third Eye</t>
        </is>
      </c>
      <c r="X323" t="inlineStr">
        <is>
          <t>Composite</t>
        </is>
      </c>
      <c r="Z323" s="3" t="inlineStr">
        <is>
          <t>Long-range perspective</t>
        </is>
      </c>
      <c r="AA323" s="3" t="inlineStr">
        <is>
          <t>Use when you… are making a decision whose effects may unfold slowly and need to think beyond immediate comfort or reward.</t>
        </is>
      </c>
      <c r="AB323" s="3" t="n"/>
      <c r="AC323" t="inlineStr">
        <is>
          <t>Intuition</t>
        </is>
      </c>
      <c r="AD323" t="inlineStr">
        <is>
          <t>Grounding</t>
        </is>
      </c>
      <c r="AE323" t="inlineStr">
        <is>
          <t>Calm &amp; Peace</t>
        </is>
      </c>
      <c r="AF323" t="inlineStr">
        <is>
          <t>["Insight","Endurance","Wisdom"]</t>
        </is>
      </c>
      <c r="AK323" t="b">
        <v>0</v>
      </c>
      <c r="AL323" t="inlineStr">
        <is>
          <t>Unreviewed</t>
        </is>
      </c>
      <c r="AM323" t="inlineStr">
        <is>
          <t>Not Started</t>
        </is>
      </c>
      <c r="AN323" t="inlineStr">
        <is>
          <t>Not Started</t>
        </is>
      </c>
      <c r="AO323" t="inlineStr">
        <is>
          <t>Not Started</t>
        </is>
      </c>
      <c r="AP323" t="inlineStr">
        <is>
          <t>Not Started</t>
        </is>
      </c>
      <c r="AR323" t="inlineStr">
        <is>
          <t>v0.3-2026-06-29</t>
        </is>
      </c>
      <c r="AT323" s="3" t="n"/>
    </row>
    <row r="324">
      <c r="A324" t="inlineStr">
        <is>
          <t>C-0335</t>
        </is>
      </c>
      <c r="B324" t="inlineStr">
        <is>
          <t>Pyromorphite</t>
        </is>
      </c>
      <c r="D324" t="inlineStr">
        <is>
          <t>Phosphates</t>
        </is>
      </c>
      <c r="E324" t="inlineStr">
        <is>
          <t>Pyromorphite</t>
        </is>
      </c>
      <c r="F324" t="n">
        <v>4</v>
      </c>
      <c r="G324" t="n">
        <v>32</v>
      </c>
      <c r="H324" t="n">
        <v>335</v>
      </c>
      <c r="I324" t="n">
        <v>335</v>
      </c>
      <c r="J324" t="inlineStr">
        <is>
          <t>Pyrite</t>
        </is>
      </c>
      <c r="K324" t="inlineStr">
        <is>
          <t>pyrite</t>
        </is>
      </c>
      <c r="L324" t="inlineStr">
        <is>
          <t>Pyrope Garnet</t>
        </is>
      </c>
      <c r="M324" t="inlineStr">
        <is>
          <t>pyrope-garnet</t>
        </is>
      </c>
      <c r="N324" t="b">
        <v>0</v>
      </c>
      <c r="O324" t="inlineStr">
        <is>
          <t>pyromorphite</t>
        </is>
      </c>
      <c r="P324" t="inlineStr">
        <is>
          <t>Not Started</t>
        </is>
      </c>
      <c r="Q324" t="inlineStr">
        <is>
          <t>Solar Plexus</t>
        </is>
      </c>
      <c r="R324" t="inlineStr">
        <is>
          <t>Root</t>
        </is>
      </c>
      <c r="S324" t="inlineStr">
        <is>
          <t>Solar Plexus</t>
        </is>
      </c>
      <c r="X324" t="inlineStr">
        <is>
          <t>Mineral</t>
        </is>
      </c>
      <c r="Z324" s="3" t="inlineStr">
        <is>
          <t>Finishing demanding goals</t>
        </is>
      </c>
      <c r="AA324" s="3" t="inlineStr">
        <is>
          <t>Use when you… are tempted to abandon a difficult project during its least exciting or most repetitive stage.</t>
        </is>
      </c>
      <c r="AB324" s="3" t="n"/>
      <c r="AC324" t="inlineStr">
        <is>
          <t>Manifestation</t>
        </is>
      </c>
      <c r="AF324" t="inlineStr">
        <is>
          <t>["Focus","Perseverance","Purpose"]</t>
        </is>
      </c>
      <c r="AK324" t="b">
        <v>0</v>
      </c>
      <c r="AL324" t="inlineStr">
        <is>
          <t>Unreviewed</t>
        </is>
      </c>
      <c r="AM324" t="inlineStr">
        <is>
          <t>Not Started</t>
        </is>
      </c>
      <c r="AN324" t="inlineStr">
        <is>
          <t>Not Started</t>
        </is>
      </c>
      <c r="AO324" t="inlineStr">
        <is>
          <t>Not Started</t>
        </is>
      </c>
      <c r="AP324" t="inlineStr">
        <is>
          <t>Not Started</t>
        </is>
      </c>
      <c r="AR324" t="inlineStr">
        <is>
          <t>v0.3-2026-06-29</t>
        </is>
      </c>
      <c r="AT324" s="3" t="n"/>
    </row>
    <row r="325">
      <c r="A325" t="inlineStr">
        <is>
          <t>C-0215</t>
        </is>
      </c>
      <c r="B325" t="inlineStr">
        <is>
          <t>Scheelite</t>
        </is>
      </c>
      <c r="D325" t="inlineStr">
        <is>
          <t>Other Mineral</t>
        </is>
      </c>
      <c r="E325" t="inlineStr">
        <is>
          <t>Scheelite</t>
        </is>
      </c>
      <c r="F325" t="n">
        <v>4</v>
      </c>
      <c r="G325" t="n">
        <v>32</v>
      </c>
      <c r="H325" t="n">
        <v>215</v>
      </c>
      <c r="I325" t="n">
        <v>215</v>
      </c>
      <c r="J325" t="inlineStr">
        <is>
          <t>Scapolite</t>
        </is>
      </c>
      <c r="K325" t="inlineStr">
        <is>
          <t>scapolite</t>
        </is>
      </c>
      <c r="L325" t="inlineStr">
        <is>
          <t>Scolecite</t>
        </is>
      </c>
      <c r="M325" t="inlineStr">
        <is>
          <t>scolecite</t>
        </is>
      </c>
      <c r="N325" t="b">
        <v>0</v>
      </c>
      <c r="O325" t="inlineStr">
        <is>
          <t>scheelite</t>
        </is>
      </c>
      <c r="P325" t="inlineStr">
        <is>
          <t>Not Started</t>
        </is>
      </c>
      <c r="Q325" t="inlineStr">
        <is>
          <t>Solar Plexus</t>
        </is>
      </c>
      <c r="R325" t="inlineStr">
        <is>
          <t>Sacral</t>
        </is>
      </c>
      <c r="S325" t="inlineStr">
        <is>
          <t>Solar Plexus</t>
        </is>
      </c>
      <c r="X325" t="inlineStr">
        <is>
          <t>Mineral</t>
        </is>
      </c>
      <c r="Z325" s="3" t="inlineStr">
        <is>
          <t>Finding a clear direction</t>
        </is>
      </c>
      <c r="AA325" s="3" t="inlineStr">
        <is>
          <t>Use when you… have several possible paths in front of you and need to identify which one best supports your deeper priorities.</t>
        </is>
      </c>
      <c r="AB325" s="3" t="n"/>
      <c r="AC325" t="inlineStr">
        <is>
          <t>Clarity &amp; Focus</t>
        </is>
      </c>
      <c r="AD325" t="inlineStr">
        <is>
          <t>Vitality</t>
        </is>
      </c>
      <c r="AF325" t="inlineStr">
        <is>
          <t>["Clarity","Purpose","Insight"]</t>
        </is>
      </c>
      <c r="AK325" t="b">
        <v>0</v>
      </c>
      <c r="AL325" t="inlineStr">
        <is>
          <t>Unreviewed</t>
        </is>
      </c>
      <c r="AM325" t="inlineStr">
        <is>
          <t>Not Started</t>
        </is>
      </c>
      <c r="AN325" t="inlineStr">
        <is>
          <t>Not Started</t>
        </is>
      </c>
      <c r="AO325" t="inlineStr">
        <is>
          <t>Not Started</t>
        </is>
      </c>
      <c r="AP325" t="inlineStr">
        <is>
          <t>Not Started</t>
        </is>
      </c>
      <c r="AR325" t="inlineStr">
        <is>
          <t>v0.3-2026-06-29</t>
        </is>
      </c>
      <c r="AT325" s="3" t="n"/>
    </row>
    <row r="326">
      <c r="A326" t="inlineStr">
        <is>
          <t>C-0343</t>
        </is>
      </c>
      <c r="B326" t="inlineStr">
        <is>
          <t>Sphene</t>
        </is>
      </c>
      <c r="C326" t="inlineStr">
        <is>
          <t>Titanite</t>
        </is>
      </c>
      <c r="D326" t="inlineStr">
        <is>
          <t>Silicates</t>
        </is>
      </c>
      <c r="E326" t="inlineStr">
        <is>
          <t>Titanite</t>
        </is>
      </c>
      <c r="F326" t="n">
        <v>4</v>
      </c>
      <c r="G326" t="n">
        <v>32</v>
      </c>
      <c r="H326" t="n">
        <v>0</v>
      </c>
      <c r="I326" t="n">
        <v>0</v>
      </c>
      <c r="J326" t="inlineStr">
        <is>
          <t>Sphalerite</t>
        </is>
      </c>
      <c r="K326" t="inlineStr">
        <is>
          <t>sphalerite</t>
        </is>
      </c>
      <c r="L326" t="inlineStr">
        <is>
          <t>Spinel</t>
        </is>
      </c>
      <c r="M326" t="inlineStr">
        <is>
          <t>spinel</t>
        </is>
      </c>
      <c r="N326" t="b">
        <v>0</v>
      </c>
      <c r="O326" t="inlineStr">
        <is>
          <t>sphene</t>
        </is>
      </c>
      <c r="P326" t="inlineStr">
        <is>
          <t>Not Started</t>
        </is>
      </c>
      <c r="Q326" t="inlineStr">
        <is>
          <t>Third Eye</t>
        </is>
      </c>
      <c r="R326" t="inlineStr">
        <is>
          <t>Solar Plexus</t>
        </is>
      </c>
      <c r="S326" t="inlineStr">
        <is>
          <t>Third Eye</t>
        </is>
      </c>
      <c r="X326" t="inlineStr">
        <is>
          <t>Mineral</t>
        </is>
      </c>
      <c r="Z326" s="3" t="inlineStr">
        <is>
          <t>Unlocking fresh ideas</t>
        </is>
      </c>
      <c r="AA326" s="3" t="inlineStr">
        <is>
          <t>Use when you… are working through a complicated problem and need a more imaginative way to connect the available information.</t>
        </is>
      </c>
      <c r="AB326" s="3" t="n"/>
      <c r="AC326" t="inlineStr">
        <is>
          <t>Clarity &amp; Focus</t>
        </is>
      </c>
      <c r="AD326" t="inlineStr">
        <is>
          <t>Manifestation</t>
        </is>
      </c>
      <c r="AF326" t="inlineStr">
        <is>
          <t>["Creativity","Clarity","Growth"]</t>
        </is>
      </c>
      <c r="AK326" t="b">
        <v>0</v>
      </c>
      <c r="AL326" t="inlineStr">
        <is>
          <t>Unreviewed</t>
        </is>
      </c>
      <c r="AM326" t="inlineStr">
        <is>
          <t>Not Started</t>
        </is>
      </c>
      <c r="AN326" t="inlineStr">
        <is>
          <t>Not Started</t>
        </is>
      </c>
      <c r="AO326" t="inlineStr">
        <is>
          <t>Not Started</t>
        </is>
      </c>
      <c r="AP326" t="inlineStr">
        <is>
          <t>Not Started</t>
        </is>
      </c>
      <c r="AR326" t="inlineStr">
        <is>
          <t>v0.3-2026-06-29</t>
        </is>
      </c>
      <c r="AT326" s="3" t="n"/>
    </row>
    <row r="327">
      <c r="A327" t="inlineStr">
        <is>
          <t>C-0345</t>
        </is>
      </c>
      <c r="B327" t="inlineStr">
        <is>
          <t>Stibnite</t>
        </is>
      </c>
      <c r="D327" t="inlineStr">
        <is>
          <t>Sulfides</t>
        </is>
      </c>
      <c r="E327" t="inlineStr">
        <is>
          <t>Stibnite</t>
        </is>
      </c>
      <c r="F327" t="n">
        <v>4</v>
      </c>
      <c r="G327" t="n">
        <v>32</v>
      </c>
      <c r="H327" t="n">
        <v>0</v>
      </c>
      <c r="I327" t="n">
        <v>0</v>
      </c>
      <c r="J327" t="inlineStr">
        <is>
          <t>Staurolite</t>
        </is>
      </c>
      <c r="K327" t="inlineStr">
        <is>
          <t>staurolite</t>
        </is>
      </c>
      <c r="L327" t="inlineStr">
        <is>
          <t>Stichtite</t>
        </is>
      </c>
      <c r="M327" t="inlineStr">
        <is>
          <t>stichtite</t>
        </is>
      </c>
      <c r="N327" t="b">
        <v>0</v>
      </c>
      <c r="O327" t="inlineStr">
        <is>
          <t>stibnite</t>
        </is>
      </c>
      <c r="P327" t="inlineStr">
        <is>
          <t>Not Started</t>
        </is>
      </c>
      <c r="Q327" t="inlineStr">
        <is>
          <t>Third Eye</t>
        </is>
      </c>
      <c r="R327" t="inlineStr">
        <is>
          <t>Root</t>
        </is>
      </c>
      <c r="S327" t="inlineStr">
        <is>
          <t>Third Eye</t>
        </is>
      </c>
      <c r="X327" t="inlineStr">
        <is>
          <t>Mineral</t>
        </is>
      </c>
      <c r="Z327" s="3" t="inlineStr">
        <is>
          <t>Directing intense ambition</t>
        </is>
      </c>
      <c r="AA327" s="3" t="inlineStr">
        <is>
          <t>Use when you… feel strongly driven toward a goal but need structure to prevent urgency from becoming recklessness.</t>
        </is>
      </c>
      <c r="AB327" s="3" t="n"/>
      <c r="AC327" t="inlineStr">
        <is>
          <t>Transformation</t>
        </is>
      </c>
      <c r="AD327" t="inlineStr">
        <is>
          <t>Protection</t>
        </is>
      </c>
      <c r="AF327" t="inlineStr">
        <is>
          <t>["Transformation","Discipline","Focus"]</t>
        </is>
      </c>
      <c r="AK327" t="b">
        <v>0</v>
      </c>
      <c r="AL327" t="inlineStr">
        <is>
          <t>Unreviewed</t>
        </is>
      </c>
      <c r="AM327" t="inlineStr">
        <is>
          <t>Not Started</t>
        </is>
      </c>
      <c r="AN327" t="inlineStr">
        <is>
          <t>Not Started</t>
        </is>
      </c>
      <c r="AO327" t="inlineStr">
        <is>
          <t>Not Started</t>
        </is>
      </c>
      <c r="AP327" t="inlineStr">
        <is>
          <t>Not Started</t>
        </is>
      </c>
      <c r="AR327" t="inlineStr">
        <is>
          <t>v0.3-2026-06-29</t>
        </is>
      </c>
      <c r="AT327" s="3" t="n"/>
    </row>
    <row r="328">
      <c r="A328" t="inlineStr">
        <is>
          <t>C-0224</t>
        </is>
      </c>
      <c r="B328" t="inlineStr">
        <is>
          <t>Sugilite</t>
        </is>
      </c>
      <c r="D328" t="inlineStr">
        <is>
          <t>Silicates</t>
        </is>
      </c>
      <c r="E328" t="inlineStr">
        <is>
          <t>Sugilite</t>
        </is>
      </c>
      <c r="F328" t="n">
        <v>4</v>
      </c>
      <c r="G328" t="n">
        <v>32</v>
      </c>
      <c r="H328" t="n">
        <v>224</v>
      </c>
      <c r="I328" t="n">
        <v>224</v>
      </c>
      <c r="J328" t="inlineStr">
        <is>
          <t>Stromatolite</t>
        </is>
      </c>
      <c r="K328" t="inlineStr">
        <is>
          <t>stromatolite</t>
        </is>
      </c>
      <c r="L328" t="inlineStr">
        <is>
          <t>Sulfur</t>
        </is>
      </c>
      <c r="M328" t="inlineStr">
        <is>
          <t>sulfur</t>
        </is>
      </c>
      <c r="N328" t="b">
        <v>0</v>
      </c>
      <c r="O328" t="inlineStr">
        <is>
          <t>sugilite</t>
        </is>
      </c>
      <c r="P328" t="inlineStr">
        <is>
          <t>Not Started</t>
        </is>
      </c>
      <c r="Q328" t="inlineStr">
        <is>
          <t>Crown</t>
        </is>
      </c>
      <c r="R328" t="inlineStr">
        <is>
          <t>Third Eye</t>
        </is>
      </c>
      <c r="S328" t="inlineStr">
        <is>
          <t>Crown</t>
        </is>
      </c>
      <c r="X328" t="inlineStr">
        <is>
          <t>Mineral</t>
        </is>
      </c>
      <c r="Z328" s="3" t="inlineStr">
        <is>
          <t>Protecting emotional integrity</t>
        </is>
      </c>
      <c r="AA328" s="3" t="inlineStr">
        <is>
          <t>Use when you… are supporting someone through a painful situation and need to remain caring without absorbing the entire emotional burden.</t>
        </is>
      </c>
      <c r="AB328" s="3" t="n"/>
      <c r="AC328" t="inlineStr">
        <is>
          <t>Protection</t>
        </is>
      </c>
      <c r="AD328" t="inlineStr">
        <is>
          <t>Spiritual Connection</t>
        </is>
      </c>
      <c r="AF328" t="inlineStr">
        <is>
          <t>["Protection","Compassion","Integrity"]</t>
        </is>
      </c>
      <c r="AK328" t="b">
        <v>0</v>
      </c>
      <c r="AL328" t="inlineStr">
        <is>
          <t>Unreviewed</t>
        </is>
      </c>
      <c r="AM328" t="inlineStr">
        <is>
          <t>Not Started</t>
        </is>
      </c>
      <c r="AN328" t="inlineStr">
        <is>
          <t>Not Started</t>
        </is>
      </c>
      <c r="AO328" t="inlineStr">
        <is>
          <t>Not Started</t>
        </is>
      </c>
      <c r="AP328" t="inlineStr">
        <is>
          <t>Not Started</t>
        </is>
      </c>
      <c r="AR328" t="inlineStr">
        <is>
          <t>v0.3-2026-06-29</t>
        </is>
      </c>
      <c r="AT328" s="3" t="n"/>
    </row>
    <row r="329">
      <c r="A329" t="inlineStr">
        <is>
          <t>C-0226</t>
        </is>
      </c>
      <c r="B329" t="inlineStr">
        <is>
          <t>Tanzanite</t>
        </is>
      </c>
      <c r="D329" t="inlineStr">
        <is>
          <t>Silicates</t>
        </is>
      </c>
      <c r="E329" t="inlineStr">
        <is>
          <t>Zoisite</t>
        </is>
      </c>
      <c r="F329" t="n">
        <v>4</v>
      </c>
      <c r="G329" t="n">
        <v>32</v>
      </c>
      <c r="H329" t="n">
        <v>226</v>
      </c>
      <c r="I329" t="n">
        <v>226</v>
      </c>
      <c r="J329" t="inlineStr">
        <is>
          <t>Tanzan Aura Quartz</t>
        </is>
      </c>
      <c r="K329" t="inlineStr">
        <is>
          <t>tanzan-aura-quartz</t>
        </is>
      </c>
      <c r="L329" t="inlineStr">
        <is>
          <t>Tektite</t>
        </is>
      </c>
      <c r="M329" t="inlineStr">
        <is>
          <t>tektite</t>
        </is>
      </c>
      <c r="N329" t="b">
        <v>0</v>
      </c>
      <c r="O329" t="inlineStr">
        <is>
          <t>tanzanite</t>
        </is>
      </c>
      <c r="P329" t="inlineStr">
        <is>
          <t>Not Started</t>
        </is>
      </c>
      <c r="Q329" t="inlineStr">
        <is>
          <t>Third Eye</t>
        </is>
      </c>
      <c r="R329" t="inlineStr">
        <is>
          <t>Throat</t>
        </is>
      </c>
      <c r="S329" t="inlineStr">
        <is>
          <t>Third Eye</t>
        </is>
      </c>
      <c r="X329" t="inlineStr">
        <is>
          <t>Mineral</t>
        </is>
      </c>
      <c r="Z329" s="3" t="inlineStr">
        <is>
          <t>Integrating insight</t>
        </is>
      </c>
      <c r="AA329" s="3" t="inlineStr">
        <is>
          <t>Use when you… have had an important realization but are struggling to understand or communicate what it means.</t>
        </is>
      </c>
      <c r="AB329" s="3" t="n"/>
      <c r="AC329" t="inlineStr">
        <is>
          <t>Clarity &amp; Focus</t>
        </is>
      </c>
      <c r="AD329" t="inlineStr">
        <is>
          <t>Transformation</t>
        </is>
      </c>
      <c r="AF329" t="inlineStr">
        <is>
          <t>["Insight","Transformation","Communication"]</t>
        </is>
      </c>
      <c r="AK329" t="b">
        <v>0</v>
      </c>
      <c r="AL329" t="inlineStr">
        <is>
          <t>Unreviewed</t>
        </is>
      </c>
      <c r="AM329" t="inlineStr">
        <is>
          <t>Not Started</t>
        </is>
      </c>
      <c r="AN329" t="inlineStr">
        <is>
          <t>Not Started</t>
        </is>
      </c>
      <c r="AO329" t="inlineStr">
        <is>
          <t>Not Started</t>
        </is>
      </c>
      <c r="AP329" t="inlineStr">
        <is>
          <t>Not Started</t>
        </is>
      </c>
      <c r="AR329" t="inlineStr">
        <is>
          <t>v0.3-2026-06-29</t>
        </is>
      </c>
      <c r="AT329" s="3" t="n"/>
    </row>
    <row r="330">
      <c r="A330" t="inlineStr">
        <is>
          <t>C-0352</t>
        </is>
      </c>
      <c r="B330" t="inlineStr">
        <is>
          <t>Tremolite</t>
        </is>
      </c>
      <c r="D330" t="inlineStr">
        <is>
          <t>Silicates</t>
        </is>
      </c>
      <c r="E330" t="inlineStr">
        <is>
          <t>Tremolite</t>
        </is>
      </c>
      <c r="F330" t="n">
        <v>4</v>
      </c>
      <c r="G330" t="n">
        <v>32</v>
      </c>
      <c r="H330" t="n">
        <v>352</v>
      </c>
      <c r="I330" t="n">
        <v>352</v>
      </c>
      <c r="J330" t="inlineStr">
        <is>
          <t>Tree Agate</t>
        </is>
      </c>
      <c r="K330" t="inlineStr">
        <is>
          <t>tree-agate</t>
        </is>
      </c>
      <c r="L330" t="inlineStr">
        <is>
          <t>Trolleite</t>
        </is>
      </c>
      <c r="M330" t="inlineStr">
        <is>
          <t>trolleite</t>
        </is>
      </c>
      <c r="N330" t="b">
        <v>0</v>
      </c>
      <c r="O330" t="inlineStr">
        <is>
          <t>tremolite</t>
        </is>
      </c>
      <c r="P330" t="inlineStr">
        <is>
          <t>Not Started</t>
        </is>
      </c>
      <c r="Q330" t="inlineStr">
        <is>
          <t>Heart</t>
        </is>
      </c>
      <c r="R330" t="inlineStr">
        <is>
          <t>Crown</t>
        </is>
      </c>
      <c r="S330" t="inlineStr">
        <is>
          <t>Heart</t>
        </is>
      </c>
      <c r="X330" t="inlineStr">
        <is>
          <t>Mineral</t>
        </is>
      </c>
      <c r="Z330" s="3" t="inlineStr">
        <is>
          <t>Recovering steady energy</t>
        </is>
      </c>
      <c r="AA330" s="3" t="inlineStr">
        <is>
          <t>Use when you… are emerging from a demanding period and need to rebuild your rhythm gradually rather than rushing back to full capacity.</t>
        </is>
      </c>
      <c r="AB330" s="3" t="n"/>
      <c r="AC330" t="inlineStr">
        <is>
          <t>Calm &amp; Peace</t>
        </is>
      </c>
      <c r="AD330" t="inlineStr">
        <is>
          <t>Spiritual Connection</t>
        </is>
      </c>
      <c r="AF330" t="inlineStr">
        <is>
          <t>["Recovery","Calm","Resilience"]</t>
        </is>
      </c>
      <c r="AK330" t="b">
        <v>0</v>
      </c>
      <c r="AL330" t="inlineStr">
        <is>
          <t>Unreviewed</t>
        </is>
      </c>
      <c r="AM330" t="inlineStr">
        <is>
          <t>Not Started</t>
        </is>
      </c>
      <c r="AN330" t="inlineStr">
        <is>
          <t>Not Started</t>
        </is>
      </c>
      <c r="AO330" t="inlineStr">
        <is>
          <t>Not Started</t>
        </is>
      </c>
      <c r="AP330" t="inlineStr">
        <is>
          <t>Not Started</t>
        </is>
      </c>
      <c r="AR330" t="inlineStr">
        <is>
          <t>v0.3-2026-06-29</t>
        </is>
      </c>
      <c r="AT330" s="3" t="n"/>
    </row>
    <row r="331">
      <c r="A331" t="inlineStr">
        <is>
          <t>C-0355</t>
        </is>
      </c>
      <c r="B331" t="inlineStr">
        <is>
          <t>Uvarovite</t>
        </is>
      </c>
      <c r="D331" t="inlineStr">
        <is>
          <t>Garnet</t>
        </is>
      </c>
      <c r="E331" t="inlineStr">
        <is>
          <t>Uvarovite</t>
        </is>
      </c>
      <c r="F331" t="n">
        <v>4</v>
      </c>
      <c r="G331" t="n">
        <v>32</v>
      </c>
      <c r="H331" t="n">
        <v>0</v>
      </c>
      <c r="I331" t="n">
        <v>0</v>
      </c>
      <c r="J331" t="inlineStr">
        <is>
          <t>Unicorn Stone</t>
        </is>
      </c>
      <c r="K331" t="inlineStr">
        <is>
          <t>unicorn-stone</t>
        </is>
      </c>
      <c r="L331" t="inlineStr">
        <is>
          <t>Vanadinite</t>
        </is>
      </c>
      <c r="M331" t="inlineStr">
        <is>
          <t>vanadinite</t>
        </is>
      </c>
      <c r="N331" t="b">
        <v>0</v>
      </c>
      <c r="O331" t="inlineStr">
        <is>
          <t>uvarovite</t>
        </is>
      </c>
      <c r="P331" t="inlineStr">
        <is>
          <t>Not Started</t>
        </is>
      </c>
      <c r="Q331" t="inlineStr">
        <is>
          <t>Heart</t>
        </is>
      </c>
      <c r="S331" t="inlineStr">
        <is>
          <t>Heart</t>
        </is>
      </c>
      <c r="X331" t="inlineStr">
        <is>
          <t>Mineral</t>
        </is>
      </c>
      <c r="Z331" s="3" t="inlineStr">
        <is>
          <t>Gratitude and growth</t>
        </is>
      </c>
      <c r="AA331" s="3" t="inlineStr">
        <is>
          <t>Use when you… are so focused on what is missing that you have lost sight of what is already supporting you.</t>
        </is>
      </c>
      <c r="AB331" s="3" t="n"/>
      <c r="AC331" t="inlineStr">
        <is>
          <t>Heart Healing</t>
        </is>
      </c>
      <c r="AD331" t="inlineStr">
        <is>
          <t>Self-Love</t>
        </is>
      </c>
      <c r="AF331" t="inlineStr">
        <is>
          <t>["Abundance","Appreciation","Growth"]</t>
        </is>
      </c>
      <c r="AK331" t="b">
        <v>0</v>
      </c>
      <c r="AL331" t="inlineStr">
        <is>
          <t>Unreviewed</t>
        </is>
      </c>
      <c r="AM331" t="inlineStr">
        <is>
          <t>Not Started</t>
        </is>
      </c>
      <c r="AN331" t="inlineStr">
        <is>
          <t>Not Started</t>
        </is>
      </c>
      <c r="AO331" t="inlineStr">
        <is>
          <t>Not Started</t>
        </is>
      </c>
      <c r="AP331" t="inlineStr">
        <is>
          <t>Not Started</t>
        </is>
      </c>
      <c r="AR331" t="inlineStr">
        <is>
          <t>v0.3-2026-06-29</t>
        </is>
      </c>
      <c r="AT331" s="3" t="n"/>
    </row>
    <row r="332">
      <c r="A332" t="inlineStr">
        <is>
          <t>C-0231</t>
        </is>
      </c>
      <c r="B332" t="inlineStr">
        <is>
          <t>Vivianite</t>
        </is>
      </c>
      <c r="D332" t="inlineStr">
        <is>
          <t>Phosphates</t>
        </is>
      </c>
      <c r="E332" t="inlineStr">
        <is>
          <t>Vivianite</t>
        </is>
      </c>
      <c r="F332" t="n">
        <v>4</v>
      </c>
      <c r="G332" t="n">
        <v>32</v>
      </c>
      <c r="H332" t="n">
        <v>231</v>
      </c>
      <c r="I332" t="n">
        <v>231</v>
      </c>
      <c r="J332" t="inlineStr">
        <is>
          <t>Vesuvianite</t>
        </is>
      </c>
      <c r="K332" t="inlineStr">
        <is>
          <t>vesuvianite</t>
        </is>
      </c>
      <c r="L332" t="inlineStr">
        <is>
          <t>Watermelon Tourmaline</t>
        </is>
      </c>
      <c r="M332" t="inlineStr">
        <is>
          <t>watermelon-tourmaline</t>
        </is>
      </c>
      <c r="N332" t="b">
        <v>0</v>
      </c>
      <c r="O332" t="inlineStr">
        <is>
          <t>vivianite</t>
        </is>
      </c>
      <c r="P332" t="inlineStr">
        <is>
          <t>Not Started</t>
        </is>
      </c>
      <c r="Q332" t="inlineStr">
        <is>
          <t>Heart</t>
        </is>
      </c>
      <c r="S332" t="inlineStr">
        <is>
          <t>Heart</t>
        </is>
      </c>
      <c r="X332" t="inlineStr">
        <is>
          <t>Mineral</t>
        </is>
      </c>
      <c r="Z332" s="3" t="inlineStr">
        <is>
          <t>Processing deep emotions</t>
        </is>
      </c>
      <c r="AA332" s="3" t="inlineStr">
        <is>
          <t>Use when you… are ready to face a difficult feeling that has remained unresolved beneath the surface.</t>
        </is>
      </c>
      <c r="AB332" s="3" t="n"/>
      <c r="AC332" t="inlineStr">
        <is>
          <t>Heart Healing</t>
        </is>
      </c>
      <c r="AF332" t="inlineStr">
        <is>
          <t>["Healing","Reflection","Renewal"]</t>
        </is>
      </c>
      <c r="AK332" t="b">
        <v>0</v>
      </c>
      <c r="AL332" t="inlineStr">
        <is>
          <t>Unreviewed</t>
        </is>
      </c>
      <c r="AM332" t="inlineStr">
        <is>
          <t>Not Started</t>
        </is>
      </c>
      <c r="AN332" t="inlineStr">
        <is>
          <t>Not Started</t>
        </is>
      </c>
      <c r="AO332" t="inlineStr">
        <is>
          <t>Not Started</t>
        </is>
      </c>
      <c r="AP332" t="inlineStr">
        <is>
          <t>Not Started</t>
        </is>
      </c>
      <c r="AR332" t="inlineStr">
        <is>
          <t>v0.3-2026-06-29</t>
        </is>
      </c>
      <c r="AT332" s="3" t="n"/>
    </row>
    <row r="333">
      <c r="A333" t="inlineStr">
        <is>
          <t>C-0056</t>
        </is>
      </c>
      <c r="B333" t="inlineStr">
        <is>
          <t>Watermelon Tourmaline</t>
        </is>
      </c>
      <c r="D333" t="inlineStr">
        <is>
          <t>Tourmaline</t>
        </is>
      </c>
      <c r="E333" t="inlineStr">
        <is>
          <t>Elbaite</t>
        </is>
      </c>
      <c r="F333" t="n">
        <v>4</v>
      </c>
      <c r="G333" t="n">
        <v>32</v>
      </c>
      <c r="H333" t="n">
        <v>56</v>
      </c>
      <c r="I333" t="n">
        <v>56</v>
      </c>
      <c r="J333" t="inlineStr">
        <is>
          <t>Vivianite</t>
        </is>
      </c>
      <c r="K333" t="inlineStr">
        <is>
          <t>vivianite</t>
        </is>
      </c>
      <c r="L333" t="inlineStr">
        <is>
          <t>White Chalcedony</t>
        </is>
      </c>
      <c r="M333" t="inlineStr">
        <is>
          <t>white-chalcedony</t>
        </is>
      </c>
      <c r="N333" t="b">
        <v>0</v>
      </c>
      <c r="O333" t="inlineStr">
        <is>
          <t>watermelon-tourmaline</t>
        </is>
      </c>
      <c r="P333" t="inlineStr">
        <is>
          <t>Not Started</t>
        </is>
      </c>
      <c r="Q333" t="inlineStr">
        <is>
          <t>Heart</t>
        </is>
      </c>
      <c r="R333" t="inlineStr">
        <is>
          <t>Root</t>
        </is>
      </c>
      <c r="S333" t="inlineStr">
        <is>
          <t>Heart</t>
        </is>
      </c>
      <c r="X333" t="inlineStr">
        <is>
          <t>Mineral</t>
        </is>
      </c>
      <c r="Z333" s="3" t="inlineStr">
        <is>
          <t>Balanced emotional openness</t>
        </is>
      </c>
      <c r="AA333" s="3" t="inlineStr">
        <is>
          <t>Use when you… want connection but find yourself alternating between overgiving and pulling away.</t>
        </is>
      </c>
      <c r="AB333" s="3" t="n"/>
      <c r="AC333" t="inlineStr">
        <is>
          <t>Heart Healing</t>
        </is>
      </c>
      <c r="AD333" t="inlineStr">
        <is>
          <t>Joy</t>
        </is>
      </c>
      <c r="AF333" t="inlineStr">
        <is>
          <t>["Love","Balance","Harmony"]</t>
        </is>
      </c>
      <c r="AK333" t="b">
        <v>0</v>
      </c>
      <c r="AL333" t="inlineStr">
        <is>
          <t>Unreviewed</t>
        </is>
      </c>
      <c r="AM333" t="inlineStr">
        <is>
          <t>Not Started</t>
        </is>
      </c>
      <c r="AN333" t="inlineStr">
        <is>
          <t>Not Started</t>
        </is>
      </c>
      <c r="AO333" t="inlineStr">
        <is>
          <t>Not Started</t>
        </is>
      </c>
      <c r="AP333" t="inlineStr">
        <is>
          <t>Not Started</t>
        </is>
      </c>
      <c r="AR333" t="inlineStr">
        <is>
          <t>v0.3-2026-06-29</t>
        </is>
      </c>
      <c r="AT333" s="3" t="n"/>
    </row>
    <row r="334">
      <c r="A334" t="inlineStr">
        <is>
          <t>C-0232</t>
        </is>
      </c>
      <c r="B334" t="inlineStr">
        <is>
          <t>Wulfenite</t>
        </is>
      </c>
      <c r="D334" t="inlineStr">
        <is>
          <t>Other Mineral</t>
        </is>
      </c>
      <c r="E334" t="inlineStr">
        <is>
          <t>Wulfenite</t>
        </is>
      </c>
      <c r="F334" t="n">
        <v>4</v>
      </c>
      <c r="G334" t="n">
        <v>32</v>
      </c>
      <c r="H334" t="n">
        <v>232</v>
      </c>
      <c r="I334" t="n">
        <v>232</v>
      </c>
      <c r="J334" t="inlineStr">
        <is>
          <t>White Topaz</t>
        </is>
      </c>
      <c r="K334" t="inlineStr">
        <is>
          <t>white-topaz</t>
        </is>
      </c>
      <c r="L334" t="inlineStr">
        <is>
          <t>Yellow Apatite</t>
        </is>
      </c>
      <c r="M334" t="inlineStr">
        <is>
          <t>yellow-apatite</t>
        </is>
      </c>
      <c r="N334" t="b">
        <v>0</v>
      </c>
      <c r="O334" t="inlineStr">
        <is>
          <t>wulfenite</t>
        </is>
      </c>
      <c r="P334" t="inlineStr">
        <is>
          <t>Not Started</t>
        </is>
      </c>
      <c r="Q334" t="inlineStr">
        <is>
          <t>Sacral</t>
        </is>
      </c>
      <c r="R334" t="inlineStr">
        <is>
          <t>Solar Plexus</t>
        </is>
      </c>
      <c r="S334" t="inlineStr">
        <is>
          <t>Sacral</t>
        </is>
      </c>
      <c r="X334" t="inlineStr">
        <is>
          <t>Mineral</t>
        </is>
      </c>
      <c r="Z334" s="3" t="inlineStr">
        <is>
          <t>Turning inspiration into action</t>
        </is>
      </c>
      <c r="AA334" s="3" t="inlineStr">
        <is>
          <t>Use when you… feel excited by a creative idea but keep postponing the first tangible step.</t>
        </is>
      </c>
      <c r="AB334" s="3" t="n"/>
      <c r="AC334" t="inlineStr">
        <is>
          <t>Joy</t>
        </is>
      </c>
      <c r="AD334" t="inlineStr">
        <is>
          <t>Clarity &amp; Focus</t>
        </is>
      </c>
      <c r="AF334" t="inlineStr">
        <is>
          <t>["Creativity","Motivation","Expression"]</t>
        </is>
      </c>
      <c r="AK334" t="b">
        <v>0</v>
      </c>
      <c r="AL334" t="inlineStr">
        <is>
          <t>Unreviewed</t>
        </is>
      </c>
      <c r="AM334" t="inlineStr">
        <is>
          <t>Not Started</t>
        </is>
      </c>
      <c r="AN334" t="inlineStr">
        <is>
          <t>Not Started</t>
        </is>
      </c>
      <c r="AO334" t="inlineStr">
        <is>
          <t>Not Started</t>
        </is>
      </c>
      <c r="AP334" t="inlineStr">
        <is>
          <t>Not Started</t>
        </is>
      </c>
      <c r="AR334" t="inlineStr">
        <is>
          <t>v0.3-2026-06-29</t>
        </is>
      </c>
      <c r="AT334" s="3" t="n"/>
    </row>
  </sheetData>
  <autoFilter ref="A1:AT334"/>
  <dataValidations count="17">
    <dataValidation sqref="F2:F334" showDropDown="0" showInputMessage="0" showErrorMessage="1" allowBlank="0" errorTitle="Not an approved value" error="Choose a value from the approved controlled vocabulary, or leave blank." type="list">
      <formula1>'Controlled Vocabularies'!$A$2:$A$5</formula1>
    </dataValidation>
    <dataValidation sqref="X2:X334" showDropDown="0" showInputMessage="0" showErrorMessage="1" allowBlank="0" errorTitle="Not an approved value" error="Choose a value from the approved controlled vocabulary, or leave blank." type="list">
      <formula1>'Controlled Vocabularies'!$B$2:$B$10</formula1>
    </dataValidation>
    <dataValidation sqref="Q2:Q334" showDropDown="0" showInputMessage="0" showErrorMessage="1" allowBlank="0" errorTitle="Not an approved value" error="Choose a value from the approved controlled vocabulary, or leave blank." type="list">
      <formula1>'Controlled Vocabularies'!$C$2:$C$11</formula1>
    </dataValidation>
    <dataValidation sqref="R2:R334" showDropDown="0" showInputMessage="0" showErrorMessage="1" allowBlank="1" errorTitle="Not an approved value" error="Choose a value from the approved controlled vocabulary, or leave blank." type="list">
      <formula1>'Controlled Vocabularies'!$C$2:$C$11</formula1>
    </dataValidation>
    <dataValidation sqref="S2:S334" showDropDown="0" showInputMessage="0" showErrorMessage="1" allowBlank="0" errorTitle="Not an approved value" error="Choose a value from the approved controlled vocabulary, or leave blank." type="list">
      <formula1>'Controlled Vocabularies'!$D$2:$D$8</formula1>
    </dataValidation>
    <dataValidation sqref="T2:T334" showDropDown="0" showInputMessage="0" showErrorMessage="1" allowBlank="1" errorTitle="Not an approved value" error="Choose a value from the approved controlled vocabulary, or leave blank." type="list">
      <formula1>'Controlled Vocabularies'!$E$2:$E$6</formula1>
    </dataValidation>
    <dataValidation sqref="U2:U334" showDropDown="0" showInputMessage="0" showErrorMessage="1" allowBlank="1" errorTitle="Not an approved value" error="Choose a value from the approved controlled vocabulary, or leave blank." type="list">
      <formula1>'Controlled Vocabularies'!$F$2:$F$17</formula1>
    </dataValidation>
    <dataValidation sqref="V2:V334" showDropDown="0" showInputMessage="0" showErrorMessage="1" allowBlank="1" errorTitle="Not an approved value" error="Choose a value from the approved controlled vocabulary, or leave blank." type="list">
      <formula1>'Controlled Vocabularies'!$G$2:$G$13</formula1>
    </dataValidation>
    <dataValidation sqref="P2:P334" showDropDown="0" showInputMessage="0" showErrorMessage="1" allowBlank="0" errorTitle="Not an approved value" error="Choose a value from the approved controlled vocabulary, or leave blank." type="list">
      <formula1>'Controlled Vocabularies'!$H$2:$H$4</formula1>
    </dataValidation>
    <dataValidation sqref="AM2:AM334" showDropDown="0" showInputMessage="0" showErrorMessage="1" allowBlank="0" errorTitle="Not an approved value" error="Choose a value from the approved controlled vocabulary, or leave blank." type="list">
      <formula1>'Controlled Vocabularies'!$I$2:$I$4</formula1>
    </dataValidation>
    <dataValidation sqref="AN2:AN334" showDropDown="0" showInputMessage="0" showErrorMessage="1" allowBlank="0" errorTitle="Not an approved value" error="Choose a value from the approved controlled vocabulary, or leave blank." type="list">
      <formula1>'Controlled Vocabularies'!$J$2:$J$4</formula1>
    </dataValidation>
    <dataValidation sqref="AO2:AO334" showDropDown="0" showInputMessage="0" showErrorMessage="1" allowBlank="0" errorTitle="Not an approved value" error="Choose a value from the approved controlled vocabulary, or leave blank." type="list">
      <formula1>'Controlled Vocabularies'!$K$2:$K$3</formula1>
    </dataValidation>
    <dataValidation sqref="AP2:AP334" showDropDown="0" showInputMessage="0" showErrorMessage="1" allowBlank="0" errorTitle="Not an approved value" error="Choose a value from the approved controlled vocabulary, or leave blank." type="list">
      <formula1>'Controlled Vocabularies'!$L$2:$L$2</formula1>
    </dataValidation>
    <dataValidation sqref="AL2:AL334" showDropDown="0" showInputMessage="0" showErrorMessage="1" allowBlank="0" errorTitle="Not an approved value" error="Choose a value from the approved controlled vocabulary, or leave blank." type="list">
      <formula1>'Controlled Vocabularies'!$M$2:$M$4</formula1>
    </dataValidation>
    <dataValidation sqref="AQ2:AQ334" showDropDown="0" showInputMessage="0" showErrorMessage="1" allowBlank="1" errorTitle="Not an approved value" error="Choose a value from the approved controlled vocabulary, or leave blank." type="list">
      <formula1>'Controlled Vocabularies'!$N$2:$N$3</formula1>
    </dataValidation>
    <dataValidation sqref="AJ2:AJ334" showDropDown="0" showInputMessage="0" showErrorMessage="1" allowBlank="1" errorTitle="Not an approved value" error="Choose a value from the approved controlled vocabulary, or leave blank." type="list">
      <formula1>'Controlled Vocabularies'!$P$2:$P$14</formula1>
    </dataValidation>
    <dataValidation sqref="N2:N334 AK2:AK334" showDropDown="0" showInputMessage="0" showErrorMessage="1" allowBlank="0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4" t="inlineStr">
        <is>
          <t>Collection Tier</t>
        </is>
      </c>
      <c r="B1" s="4" t="inlineStr">
        <is>
          <t>Material Type</t>
        </is>
      </c>
      <c r="C1" s="4" t="inlineStr">
        <is>
          <t>Chakra (Primary/Secondary)</t>
        </is>
      </c>
      <c r="D1" s="4" t="inlineStr">
        <is>
          <t>Styling Chakra</t>
        </is>
      </c>
      <c r="E1" s="4" t="inlineStr">
        <is>
          <t>Element</t>
        </is>
      </c>
      <c r="F1" s="4" t="inlineStr">
        <is>
          <t>Zodiac</t>
        </is>
      </c>
      <c r="G1" s="4" t="inlineStr">
        <is>
          <t>Encyclopedia Energetic Role</t>
        </is>
      </c>
      <c r="H1" s="4" t="inlineStr">
        <is>
          <t>Encyclopedia Production Status</t>
        </is>
      </c>
      <c r="I1" s="4" t="inlineStr">
        <is>
          <t>Research Status</t>
        </is>
      </c>
      <c r="J1" s="4" t="inlineStr">
        <is>
          <t>Canonical MD Status</t>
        </is>
      </c>
      <c r="K1" s="4" t="inlineStr">
        <is>
          <t>Supabase Status</t>
        </is>
      </c>
      <c r="L1" s="4" t="inlineStr">
        <is>
          <t>Visual QA Status</t>
        </is>
      </c>
      <c r="M1" s="4" t="inlineStr">
        <is>
          <t>Structured Data Status</t>
        </is>
      </c>
      <c r="N1" s="4" t="inlineStr">
        <is>
          <t>Editorial Owner</t>
        </is>
      </c>
      <c r="O1" s="4" t="inlineStr">
        <is>
          <t>Exception Review Required</t>
        </is>
      </c>
      <c r="P1" s="4" t="inlineStr">
        <is>
          <t>Exception Type</t>
        </is>
      </c>
    </row>
    <row r="2">
      <c r="A2" t="inlineStr">
        <is>
          <t>1</t>
        </is>
      </c>
      <c r="B2" t="inlineStr">
        <is>
          <t>Mineral</t>
        </is>
      </c>
      <c r="C2" t="inlineStr">
        <is>
          <t>Root</t>
        </is>
      </c>
      <c r="D2" t="inlineStr">
        <is>
          <t>Crown</t>
        </is>
      </c>
      <c r="E2" t="inlineStr">
        <is>
          <t>Air</t>
        </is>
      </c>
      <c r="F2" t="inlineStr">
        <is>
          <t>Aries</t>
        </is>
      </c>
      <c r="G2" t="inlineStr">
        <is>
          <t>Grounding</t>
        </is>
      </c>
      <c r="H2" t="inlineStr">
        <is>
          <t>Full Entry Live</t>
        </is>
      </c>
      <c r="I2" t="inlineStr">
        <is>
          <t>Complete</t>
        </is>
      </c>
      <c r="J2" t="inlineStr">
        <is>
          <t>Approved</t>
        </is>
      </c>
      <c r="K2" t="inlineStr">
        <is>
          <t>Complete</t>
        </is>
      </c>
      <c r="L2" t="inlineStr">
        <is>
          <t>Not Started</t>
        </is>
      </c>
      <c r="M2" t="inlineStr">
        <is>
          <t>Confirmed</t>
        </is>
      </c>
      <c r="N2" t="inlineStr">
        <is>
          <t>Claude Chat</t>
        </is>
      </c>
      <c r="O2" t="inlineStr">
        <is>
          <t>TRUE</t>
        </is>
      </c>
      <c r="P2" t="inlineStr">
        <is>
          <t>Rock</t>
        </is>
      </c>
    </row>
    <row r="3">
      <c r="A3" t="inlineStr">
        <is>
          <t>2</t>
        </is>
      </c>
      <c r="B3" t="inlineStr">
        <is>
          <t>Mineral variety</t>
        </is>
      </c>
      <c r="C3" t="inlineStr">
        <is>
          <t>Sacral</t>
        </is>
      </c>
      <c r="D3" t="inlineStr">
        <is>
          <t>Heart</t>
        </is>
      </c>
      <c r="E3" t="inlineStr">
        <is>
          <t>Earth</t>
        </is>
      </c>
      <c r="F3" t="inlineStr">
        <is>
          <t>Taurus</t>
        </is>
      </c>
      <c r="G3" t="inlineStr">
        <is>
          <t>Protection</t>
        </is>
      </c>
      <c r="H3" t="inlineStr">
        <is>
          <t>MD Approved</t>
        </is>
      </c>
      <c r="I3" t="inlineStr">
        <is>
          <t>Not Started</t>
        </is>
      </c>
      <c r="J3" t="inlineStr">
        <is>
          <t>Not Started</t>
        </is>
      </c>
      <c r="K3" t="inlineStr">
        <is>
          <t>Not Started</t>
        </is>
      </c>
      <c r="M3" t="inlineStr">
        <is>
          <t>SYNTHESIS COMPLETE</t>
        </is>
      </c>
      <c r="N3" t="inlineStr">
        <is>
          <t>Lyra</t>
        </is>
      </c>
      <c r="O3" t="inlineStr">
        <is>
          <t>FALSE</t>
        </is>
      </c>
      <c r="P3" t="inlineStr">
        <is>
          <t>Mineraloid</t>
        </is>
      </c>
    </row>
    <row r="4">
      <c r="A4" t="inlineStr">
        <is>
          <t>3</t>
        </is>
      </c>
      <c r="B4" t="inlineStr">
        <is>
          <t>Rock</t>
        </is>
      </c>
      <c r="C4" t="inlineStr">
        <is>
          <t>Solar Plexus</t>
        </is>
      </c>
      <c r="D4" t="inlineStr">
        <is>
          <t>Root</t>
        </is>
      </c>
      <c r="E4" t="inlineStr">
        <is>
          <t>Fire</t>
        </is>
      </c>
      <c r="F4" t="inlineStr">
        <is>
          <t>Gemini</t>
        </is>
      </c>
      <c r="G4" t="inlineStr">
        <is>
          <t>Vitality</t>
        </is>
      </c>
      <c r="H4" t="inlineStr">
        <is>
          <t>Not Started</t>
        </is>
      </c>
      <c r="I4" t="inlineStr">
        <is>
          <t>PASS 2 COMPLETE</t>
        </is>
      </c>
      <c r="J4" t="inlineStr">
        <is>
          <t>SYNTHESIS COMPLETE</t>
        </is>
      </c>
      <c r="M4" t="inlineStr">
        <is>
          <t>Unreviewed</t>
        </is>
      </c>
      <c r="P4" t="inlineStr">
        <is>
          <t>Mineral aggregate</t>
        </is>
      </c>
    </row>
    <row r="5">
      <c r="A5" t="inlineStr">
        <is>
          <t>4</t>
        </is>
      </c>
      <c r="B5" t="inlineStr">
        <is>
          <t>Mineraloid</t>
        </is>
      </c>
      <c r="C5" t="inlineStr">
        <is>
          <t>Heart</t>
        </is>
      </c>
      <c r="D5" t="inlineStr">
        <is>
          <t>Sacral</t>
        </is>
      </c>
      <c r="E5" t="inlineStr">
        <is>
          <t>Storm</t>
        </is>
      </c>
      <c r="F5" t="inlineStr">
        <is>
          <t>Cancer</t>
        </is>
      </c>
      <c r="G5" t="inlineStr">
        <is>
          <t>Heart Healing</t>
        </is>
      </c>
      <c r="P5" t="inlineStr">
        <is>
          <t>Organic material</t>
        </is>
      </c>
    </row>
    <row r="6">
      <c r="B6" t="inlineStr">
        <is>
          <t>Organic material</t>
        </is>
      </c>
      <c r="C6" t="inlineStr">
        <is>
          <t>Throat</t>
        </is>
      </c>
      <c r="D6" t="inlineStr">
        <is>
          <t>Solar Plexus</t>
        </is>
      </c>
      <c r="E6" t="inlineStr">
        <is>
          <t>Water</t>
        </is>
      </c>
      <c r="F6" t="inlineStr">
        <is>
          <t>Leo</t>
        </is>
      </c>
      <c r="G6" t="inlineStr">
        <is>
          <t>Calm &amp; Peace</t>
        </is>
      </c>
      <c r="P6" t="inlineStr">
        <is>
          <t>Fossil</t>
        </is>
      </c>
    </row>
    <row r="7">
      <c r="B7" t="inlineStr">
        <is>
          <t>Mineral aggregate</t>
        </is>
      </c>
      <c r="C7" t="inlineStr">
        <is>
          <t>Third Eye</t>
        </is>
      </c>
      <c r="D7" t="inlineStr">
        <is>
          <t>Third Eye</t>
        </is>
      </c>
      <c r="F7" t="inlineStr">
        <is>
          <t>Virgo</t>
        </is>
      </c>
      <c r="G7" t="inlineStr">
        <is>
          <t>Emotional Regulation</t>
        </is>
      </c>
      <c r="P7" t="inlineStr">
        <is>
          <t>Composite</t>
        </is>
      </c>
    </row>
    <row r="8">
      <c r="B8" t="inlineStr">
        <is>
          <t>Composite</t>
        </is>
      </c>
      <c r="C8" t="inlineStr">
        <is>
          <t>Crown</t>
        </is>
      </c>
      <c r="D8" t="inlineStr">
        <is>
          <t>Throat</t>
        </is>
      </c>
      <c r="F8" t="inlineStr">
        <is>
          <t>Libra</t>
        </is>
      </c>
      <c r="G8" t="inlineStr">
        <is>
          <t>Clarity &amp; Focus</t>
        </is>
      </c>
      <c r="P8" t="inlineStr">
        <is>
          <t>Man-made</t>
        </is>
      </c>
    </row>
    <row r="9">
      <c r="B9" t="inlineStr">
        <is>
          <t>Man-made</t>
        </is>
      </c>
      <c r="C9" t="inlineStr">
        <is>
          <t>All Chakras</t>
        </is>
      </c>
      <c r="F9" t="inlineStr">
        <is>
          <t>Scorpio</t>
        </is>
      </c>
      <c r="G9" t="inlineStr">
        <is>
          <t>Intuition</t>
        </is>
      </c>
      <c r="P9" t="inlineStr">
        <is>
          <t>Treated material</t>
        </is>
      </c>
    </row>
    <row r="10">
      <c r="B10" t="inlineStr">
        <is>
          <t>Fossil</t>
        </is>
      </c>
      <c r="C10" t="inlineStr">
        <is>
          <t>Earth Star</t>
        </is>
      </c>
      <c r="F10" t="inlineStr">
        <is>
          <t>Sagittarius</t>
        </is>
      </c>
      <c r="G10" t="inlineStr">
        <is>
          <t>Spiritual Connection</t>
        </is>
      </c>
      <c r="P10" t="inlineStr">
        <is>
          <t>Trade name</t>
        </is>
      </c>
    </row>
    <row r="11">
      <c r="C11" t="inlineStr">
        <is>
          <t>Soul Star</t>
        </is>
      </c>
      <c r="F11" t="inlineStr">
        <is>
          <t>Capricorn</t>
        </is>
      </c>
      <c r="G11" t="inlineStr">
        <is>
          <t>Transformation</t>
        </is>
      </c>
      <c r="P11" t="inlineStr">
        <is>
          <t>Locality variety</t>
        </is>
      </c>
    </row>
    <row r="12">
      <c r="F12" t="inlineStr">
        <is>
          <t>Aquarius</t>
        </is>
      </c>
      <c r="G12" t="inlineStr">
        <is>
          <t>Manifestation</t>
        </is>
      </c>
      <c r="P12" t="inlineStr">
        <is>
          <t>Mixed material</t>
        </is>
      </c>
    </row>
    <row r="13">
      <c r="F13" t="inlineStr">
        <is>
          <t>Pisces</t>
        </is>
      </c>
      <c r="G13" t="inlineStr">
        <is>
          <t>Amplification</t>
        </is>
      </c>
      <c r="P13" t="inlineStr">
        <is>
          <t>Disputed identity</t>
        </is>
      </c>
    </row>
    <row r="14">
      <c r="F14" t="inlineStr">
        <is>
          <t>Aries · Leo</t>
        </is>
      </c>
      <c r="P14" t="inlineStr">
        <is>
          <t>Specialist nomenclature review</t>
        </is>
      </c>
    </row>
    <row r="15">
      <c r="F15" t="inlineStr">
        <is>
          <t>Aries · Taurus</t>
        </is>
      </c>
    </row>
    <row r="16">
      <c r="F16" t="inlineStr">
        <is>
          <t>Gemini · Scorpio</t>
        </is>
      </c>
    </row>
    <row r="17">
      <c r="F17" t="inlineStr">
        <is>
          <t>Scorpio · Capricorn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5" t="inlineStr">
        <is>
          <t>Stone ID</t>
        </is>
      </c>
      <c r="B1" s="5" t="inlineStr">
        <is>
          <t>Canonical Name</t>
        </is>
      </c>
      <c r="C1" s="5" t="inlineStr">
        <is>
          <t>Slug</t>
        </is>
      </c>
      <c r="D1" s="5" t="inlineStr">
        <is>
          <t>Collection Tier</t>
        </is>
      </c>
      <c r="E1" s="5" t="inlineStr">
        <is>
          <t>Has Primary Chakra</t>
        </is>
      </c>
      <c r="F1" s="5" t="inlineStr">
        <is>
          <t>Has Styling Chakra</t>
        </is>
      </c>
      <c r="G1" s="5" t="inlineStr">
        <is>
          <t>Has Material Type</t>
        </is>
      </c>
      <c r="H1" s="5" t="inlineStr">
        <is>
          <t>Has Encyclopedia Energetic Role</t>
        </is>
      </c>
      <c r="I1" s="5" t="inlineStr">
        <is>
          <t>Has Hero Foundation (Best For/Use When/Affirmation)</t>
        </is>
      </c>
      <c r="J1" s="5" t="inlineStr">
        <is>
          <t>Navigation Verified</t>
        </is>
      </c>
      <c r="K1" s="5" t="inlineStr">
        <is>
          <t>Structured Data Status</t>
        </is>
      </c>
      <c r="L1" s="5" t="inlineStr">
        <is>
          <t>Foundation Ready</t>
        </is>
      </c>
    </row>
    <row r="2">
      <c r="A2">
        <f>'Catalog Master'!A2</f>
        <v/>
      </c>
      <c r="B2">
        <f>'Catalog Master'!B2</f>
        <v/>
      </c>
      <c r="C2">
        <f>'Catalog Master'!O2</f>
        <v/>
      </c>
      <c r="D2">
        <f>'Catalog Master'!F2</f>
        <v/>
      </c>
      <c r="E2">
        <f>IF('Catalog Master'!Q2&lt;&gt;"","Y","N")</f>
        <v/>
      </c>
      <c r="F2">
        <f>IF('Catalog Master'!S2&lt;&gt;"","Y","N")</f>
        <v/>
      </c>
      <c r="G2">
        <f>IF('Catalog Master'!X2&lt;&gt;"","Y","N")</f>
        <v/>
      </c>
      <c r="H2">
        <f>IF('Catalog Master'!V2&lt;&gt;"","Y","N")</f>
        <v/>
      </c>
      <c r="I2">
        <f>IF(AND('Catalog Master'!Z2&lt;&gt;"",'Catalog Master'!AA2&lt;&gt;"",'Catalog Master'!AB2&lt;&gt;""),"Y","N")</f>
        <v/>
      </c>
      <c r="J2">
        <f>'Catalog Master'!N2</f>
        <v/>
      </c>
      <c r="K2">
        <f>'Catalog Master'!AL2</f>
        <v/>
      </c>
      <c r="L2">
        <f>IF(AND(E2="Y",F2="Y",G2="Y",H2="Y",I2="Y"),"Y","N")</f>
        <v/>
      </c>
    </row>
    <row r="3">
      <c r="A3">
        <f>'Catalog Master'!A3</f>
        <v/>
      </c>
      <c r="B3">
        <f>'Catalog Master'!B3</f>
        <v/>
      </c>
      <c r="C3">
        <f>'Catalog Master'!O3</f>
        <v/>
      </c>
      <c r="D3">
        <f>'Catalog Master'!F3</f>
        <v/>
      </c>
      <c r="E3">
        <f>IF('Catalog Master'!Q3&lt;&gt;"","Y","N")</f>
        <v/>
      </c>
      <c r="F3">
        <f>IF('Catalog Master'!S3&lt;&gt;"","Y","N")</f>
        <v/>
      </c>
      <c r="G3">
        <f>IF('Catalog Master'!X3&lt;&gt;"","Y","N")</f>
        <v/>
      </c>
      <c r="H3">
        <f>IF('Catalog Master'!V3&lt;&gt;"","Y","N")</f>
        <v/>
      </c>
      <c r="I3">
        <f>IF(AND('Catalog Master'!Z3&lt;&gt;"",'Catalog Master'!AA3&lt;&gt;"",'Catalog Master'!AB3&lt;&gt;""),"Y","N")</f>
        <v/>
      </c>
      <c r="J3">
        <f>'Catalog Master'!N3</f>
        <v/>
      </c>
      <c r="K3">
        <f>'Catalog Master'!AL3</f>
        <v/>
      </c>
      <c r="L3">
        <f>IF(AND(E3="Y",F3="Y",G3="Y",H3="Y",I3="Y"),"Y","N")</f>
        <v/>
      </c>
    </row>
    <row r="4">
      <c r="A4">
        <f>'Catalog Master'!A4</f>
        <v/>
      </c>
      <c r="B4">
        <f>'Catalog Master'!B4</f>
        <v/>
      </c>
      <c r="C4">
        <f>'Catalog Master'!O4</f>
        <v/>
      </c>
      <c r="D4">
        <f>'Catalog Master'!F4</f>
        <v/>
      </c>
      <c r="E4">
        <f>IF('Catalog Master'!Q4&lt;&gt;"","Y","N")</f>
        <v/>
      </c>
      <c r="F4">
        <f>IF('Catalog Master'!S4&lt;&gt;"","Y","N")</f>
        <v/>
      </c>
      <c r="G4">
        <f>IF('Catalog Master'!X4&lt;&gt;"","Y","N")</f>
        <v/>
      </c>
      <c r="H4">
        <f>IF('Catalog Master'!V4&lt;&gt;"","Y","N")</f>
        <v/>
      </c>
      <c r="I4">
        <f>IF(AND('Catalog Master'!Z4&lt;&gt;"",'Catalog Master'!AA4&lt;&gt;"",'Catalog Master'!AB4&lt;&gt;""),"Y","N")</f>
        <v/>
      </c>
      <c r="J4">
        <f>'Catalog Master'!N4</f>
        <v/>
      </c>
      <c r="K4">
        <f>'Catalog Master'!AL4</f>
        <v/>
      </c>
      <c r="L4">
        <f>IF(AND(E4="Y",F4="Y",G4="Y",H4="Y",I4="Y"),"Y","N")</f>
        <v/>
      </c>
    </row>
    <row r="5">
      <c r="A5">
        <f>'Catalog Master'!A5</f>
        <v/>
      </c>
      <c r="B5">
        <f>'Catalog Master'!B5</f>
        <v/>
      </c>
      <c r="C5">
        <f>'Catalog Master'!O5</f>
        <v/>
      </c>
      <c r="D5">
        <f>'Catalog Master'!F5</f>
        <v/>
      </c>
      <c r="E5">
        <f>IF('Catalog Master'!Q5&lt;&gt;"","Y","N")</f>
        <v/>
      </c>
      <c r="F5">
        <f>IF('Catalog Master'!S5&lt;&gt;"","Y","N")</f>
        <v/>
      </c>
      <c r="G5">
        <f>IF('Catalog Master'!X5&lt;&gt;"","Y","N")</f>
        <v/>
      </c>
      <c r="H5">
        <f>IF('Catalog Master'!V5&lt;&gt;"","Y","N")</f>
        <v/>
      </c>
      <c r="I5">
        <f>IF(AND('Catalog Master'!Z5&lt;&gt;"",'Catalog Master'!AA5&lt;&gt;"",'Catalog Master'!AB5&lt;&gt;""),"Y","N")</f>
        <v/>
      </c>
      <c r="J5">
        <f>'Catalog Master'!N5</f>
        <v/>
      </c>
      <c r="K5">
        <f>'Catalog Master'!AL5</f>
        <v/>
      </c>
      <c r="L5">
        <f>IF(AND(E5="Y",F5="Y",G5="Y",H5="Y",I5="Y"),"Y","N")</f>
        <v/>
      </c>
    </row>
    <row r="6">
      <c r="A6">
        <f>'Catalog Master'!A6</f>
        <v/>
      </c>
      <c r="B6">
        <f>'Catalog Master'!B6</f>
        <v/>
      </c>
      <c r="C6">
        <f>'Catalog Master'!O6</f>
        <v/>
      </c>
      <c r="D6">
        <f>'Catalog Master'!F6</f>
        <v/>
      </c>
      <c r="E6">
        <f>IF('Catalog Master'!Q6&lt;&gt;"","Y","N")</f>
        <v/>
      </c>
      <c r="F6">
        <f>IF('Catalog Master'!S6&lt;&gt;"","Y","N")</f>
        <v/>
      </c>
      <c r="G6">
        <f>IF('Catalog Master'!X6&lt;&gt;"","Y","N")</f>
        <v/>
      </c>
      <c r="H6">
        <f>IF('Catalog Master'!V6&lt;&gt;"","Y","N")</f>
        <v/>
      </c>
      <c r="I6">
        <f>IF(AND('Catalog Master'!Z6&lt;&gt;"",'Catalog Master'!AA6&lt;&gt;"",'Catalog Master'!AB6&lt;&gt;""),"Y","N")</f>
        <v/>
      </c>
      <c r="J6">
        <f>'Catalog Master'!N6</f>
        <v/>
      </c>
      <c r="K6">
        <f>'Catalog Master'!AL6</f>
        <v/>
      </c>
      <c r="L6">
        <f>IF(AND(E6="Y",F6="Y",G6="Y",H6="Y",I6="Y"),"Y","N")</f>
        <v/>
      </c>
    </row>
    <row r="7">
      <c r="A7">
        <f>'Catalog Master'!A7</f>
        <v/>
      </c>
      <c r="B7">
        <f>'Catalog Master'!B7</f>
        <v/>
      </c>
      <c r="C7">
        <f>'Catalog Master'!O7</f>
        <v/>
      </c>
      <c r="D7">
        <f>'Catalog Master'!F7</f>
        <v/>
      </c>
      <c r="E7">
        <f>IF('Catalog Master'!Q7&lt;&gt;"","Y","N")</f>
        <v/>
      </c>
      <c r="F7">
        <f>IF('Catalog Master'!S7&lt;&gt;"","Y","N")</f>
        <v/>
      </c>
      <c r="G7">
        <f>IF('Catalog Master'!X7&lt;&gt;"","Y","N")</f>
        <v/>
      </c>
      <c r="H7">
        <f>IF('Catalog Master'!V7&lt;&gt;"","Y","N")</f>
        <v/>
      </c>
      <c r="I7">
        <f>IF(AND('Catalog Master'!Z7&lt;&gt;"",'Catalog Master'!AA7&lt;&gt;"",'Catalog Master'!AB7&lt;&gt;""),"Y","N")</f>
        <v/>
      </c>
      <c r="J7">
        <f>'Catalog Master'!N7</f>
        <v/>
      </c>
      <c r="K7">
        <f>'Catalog Master'!AL7</f>
        <v/>
      </c>
      <c r="L7">
        <f>IF(AND(E7="Y",F7="Y",G7="Y",H7="Y",I7="Y"),"Y","N")</f>
        <v/>
      </c>
    </row>
    <row r="8">
      <c r="A8">
        <f>'Catalog Master'!A8</f>
        <v/>
      </c>
      <c r="B8">
        <f>'Catalog Master'!B8</f>
        <v/>
      </c>
      <c r="C8">
        <f>'Catalog Master'!O8</f>
        <v/>
      </c>
      <c r="D8">
        <f>'Catalog Master'!F8</f>
        <v/>
      </c>
      <c r="E8">
        <f>IF('Catalog Master'!Q8&lt;&gt;"","Y","N")</f>
        <v/>
      </c>
      <c r="F8">
        <f>IF('Catalog Master'!S8&lt;&gt;"","Y","N")</f>
        <v/>
      </c>
      <c r="G8">
        <f>IF('Catalog Master'!X8&lt;&gt;"","Y","N")</f>
        <v/>
      </c>
      <c r="H8">
        <f>IF('Catalog Master'!V8&lt;&gt;"","Y","N")</f>
        <v/>
      </c>
      <c r="I8">
        <f>IF(AND('Catalog Master'!Z8&lt;&gt;"",'Catalog Master'!AA8&lt;&gt;"",'Catalog Master'!AB8&lt;&gt;""),"Y","N")</f>
        <v/>
      </c>
      <c r="J8">
        <f>'Catalog Master'!N8</f>
        <v/>
      </c>
      <c r="K8">
        <f>'Catalog Master'!AL8</f>
        <v/>
      </c>
      <c r="L8">
        <f>IF(AND(E8="Y",F8="Y",G8="Y",H8="Y",I8="Y"),"Y","N")</f>
        <v/>
      </c>
    </row>
    <row r="9">
      <c r="A9">
        <f>'Catalog Master'!A9</f>
        <v/>
      </c>
      <c r="B9">
        <f>'Catalog Master'!B9</f>
        <v/>
      </c>
      <c r="C9">
        <f>'Catalog Master'!O9</f>
        <v/>
      </c>
      <c r="D9">
        <f>'Catalog Master'!F9</f>
        <v/>
      </c>
      <c r="E9">
        <f>IF('Catalog Master'!Q9&lt;&gt;"","Y","N")</f>
        <v/>
      </c>
      <c r="F9">
        <f>IF('Catalog Master'!S9&lt;&gt;"","Y","N")</f>
        <v/>
      </c>
      <c r="G9">
        <f>IF('Catalog Master'!X9&lt;&gt;"","Y","N")</f>
        <v/>
      </c>
      <c r="H9">
        <f>IF('Catalog Master'!V9&lt;&gt;"","Y","N")</f>
        <v/>
      </c>
      <c r="I9">
        <f>IF(AND('Catalog Master'!Z9&lt;&gt;"",'Catalog Master'!AA9&lt;&gt;"",'Catalog Master'!AB9&lt;&gt;""),"Y","N")</f>
        <v/>
      </c>
      <c r="J9">
        <f>'Catalog Master'!N9</f>
        <v/>
      </c>
      <c r="K9">
        <f>'Catalog Master'!AL9</f>
        <v/>
      </c>
      <c r="L9">
        <f>IF(AND(E9="Y",F9="Y",G9="Y",H9="Y",I9="Y"),"Y","N")</f>
        <v/>
      </c>
    </row>
    <row r="10">
      <c r="A10">
        <f>'Catalog Master'!A10</f>
        <v/>
      </c>
      <c r="B10">
        <f>'Catalog Master'!B10</f>
        <v/>
      </c>
      <c r="C10">
        <f>'Catalog Master'!O10</f>
        <v/>
      </c>
      <c r="D10">
        <f>'Catalog Master'!F10</f>
        <v/>
      </c>
      <c r="E10">
        <f>IF('Catalog Master'!Q10&lt;&gt;"","Y","N")</f>
        <v/>
      </c>
      <c r="F10">
        <f>IF('Catalog Master'!S10&lt;&gt;"","Y","N")</f>
        <v/>
      </c>
      <c r="G10">
        <f>IF('Catalog Master'!X10&lt;&gt;"","Y","N")</f>
        <v/>
      </c>
      <c r="H10">
        <f>IF('Catalog Master'!V10&lt;&gt;"","Y","N")</f>
        <v/>
      </c>
      <c r="I10">
        <f>IF(AND('Catalog Master'!Z10&lt;&gt;"",'Catalog Master'!AA10&lt;&gt;"",'Catalog Master'!AB10&lt;&gt;""),"Y","N")</f>
        <v/>
      </c>
      <c r="J10">
        <f>'Catalog Master'!N10</f>
        <v/>
      </c>
      <c r="K10">
        <f>'Catalog Master'!AL10</f>
        <v/>
      </c>
      <c r="L10">
        <f>IF(AND(E10="Y",F10="Y",G10="Y",H10="Y",I10="Y"),"Y","N")</f>
        <v/>
      </c>
    </row>
    <row r="11">
      <c r="A11">
        <f>'Catalog Master'!A11</f>
        <v/>
      </c>
      <c r="B11">
        <f>'Catalog Master'!B11</f>
        <v/>
      </c>
      <c r="C11">
        <f>'Catalog Master'!O11</f>
        <v/>
      </c>
      <c r="D11">
        <f>'Catalog Master'!F11</f>
        <v/>
      </c>
      <c r="E11">
        <f>IF('Catalog Master'!Q11&lt;&gt;"","Y","N")</f>
        <v/>
      </c>
      <c r="F11">
        <f>IF('Catalog Master'!S11&lt;&gt;"","Y","N")</f>
        <v/>
      </c>
      <c r="G11">
        <f>IF('Catalog Master'!X11&lt;&gt;"","Y","N")</f>
        <v/>
      </c>
      <c r="H11">
        <f>IF('Catalog Master'!V11&lt;&gt;"","Y","N")</f>
        <v/>
      </c>
      <c r="I11">
        <f>IF(AND('Catalog Master'!Z11&lt;&gt;"",'Catalog Master'!AA11&lt;&gt;"",'Catalog Master'!AB11&lt;&gt;""),"Y","N")</f>
        <v/>
      </c>
      <c r="J11">
        <f>'Catalog Master'!N11</f>
        <v/>
      </c>
      <c r="K11">
        <f>'Catalog Master'!AL11</f>
        <v/>
      </c>
      <c r="L11">
        <f>IF(AND(E11="Y",F11="Y",G11="Y",H11="Y",I11="Y"),"Y","N")</f>
        <v/>
      </c>
    </row>
    <row r="12">
      <c r="A12">
        <f>'Catalog Master'!A12</f>
        <v/>
      </c>
      <c r="B12">
        <f>'Catalog Master'!B12</f>
        <v/>
      </c>
      <c r="C12">
        <f>'Catalog Master'!O12</f>
        <v/>
      </c>
      <c r="D12">
        <f>'Catalog Master'!F12</f>
        <v/>
      </c>
      <c r="E12">
        <f>IF('Catalog Master'!Q12&lt;&gt;"","Y","N")</f>
        <v/>
      </c>
      <c r="F12">
        <f>IF('Catalog Master'!S12&lt;&gt;"","Y","N")</f>
        <v/>
      </c>
      <c r="G12">
        <f>IF('Catalog Master'!X12&lt;&gt;"","Y","N")</f>
        <v/>
      </c>
      <c r="H12">
        <f>IF('Catalog Master'!V12&lt;&gt;"","Y","N")</f>
        <v/>
      </c>
      <c r="I12">
        <f>IF(AND('Catalog Master'!Z12&lt;&gt;"",'Catalog Master'!AA12&lt;&gt;"",'Catalog Master'!AB12&lt;&gt;""),"Y","N")</f>
        <v/>
      </c>
      <c r="J12">
        <f>'Catalog Master'!N12</f>
        <v/>
      </c>
      <c r="K12">
        <f>'Catalog Master'!AL12</f>
        <v/>
      </c>
      <c r="L12">
        <f>IF(AND(E12="Y",F12="Y",G12="Y",H12="Y",I12="Y"),"Y","N")</f>
        <v/>
      </c>
    </row>
    <row r="13">
      <c r="A13">
        <f>'Catalog Master'!A13</f>
        <v/>
      </c>
      <c r="B13">
        <f>'Catalog Master'!B13</f>
        <v/>
      </c>
      <c r="C13">
        <f>'Catalog Master'!O13</f>
        <v/>
      </c>
      <c r="D13">
        <f>'Catalog Master'!F13</f>
        <v/>
      </c>
      <c r="E13">
        <f>IF('Catalog Master'!Q13&lt;&gt;"","Y","N")</f>
        <v/>
      </c>
      <c r="F13">
        <f>IF('Catalog Master'!S13&lt;&gt;"","Y","N")</f>
        <v/>
      </c>
      <c r="G13">
        <f>IF('Catalog Master'!X13&lt;&gt;"","Y","N")</f>
        <v/>
      </c>
      <c r="H13">
        <f>IF('Catalog Master'!V13&lt;&gt;"","Y","N")</f>
        <v/>
      </c>
      <c r="I13">
        <f>IF(AND('Catalog Master'!Z13&lt;&gt;"",'Catalog Master'!AA13&lt;&gt;"",'Catalog Master'!AB13&lt;&gt;""),"Y","N")</f>
        <v/>
      </c>
      <c r="J13">
        <f>'Catalog Master'!N13</f>
        <v/>
      </c>
      <c r="K13">
        <f>'Catalog Master'!AL13</f>
        <v/>
      </c>
      <c r="L13">
        <f>IF(AND(E13="Y",F13="Y",G13="Y",H13="Y",I13="Y"),"Y","N")</f>
        <v/>
      </c>
    </row>
    <row r="14">
      <c r="A14">
        <f>'Catalog Master'!A14</f>
        <v/>
      </c>
      <c r="B14">
        <f>'Catalog Master'!B14</f>
        <v/>
      </c>
      <c r="C14">
        <f>'Catalog Master'!O14</f>
        <v/>
      </c>
      <c r="D14">
        <f>'Catalog Master'!F14</f>
        <v/>
      </c>
      <c r="E14">
        <f>IF('Catalog Master'!Q14&lt;&gt;"","Y","N")</f>
        <v/>
      </c>
      <c r="F14">
        <f>IF('Catalog Master'!S14&lt;&gt;"","Y","N")</f>
        <v/>
      </c>
      <c r="G14">
        <f>IF('Catalog Master'!X14&lt;&gt;"","Y","N")</f>
        <v/>
      </c>
      <c r="H14">
        <f>IF('Catalog Master'!V14&lt;&gt;"","Y","N")</f>
        <v/>
      </c>
      <c r="I14">
        <f>IF(AND('Catalog Master'!Z14&lt;&gt;"",'Catalog Master'!AA14&lt;&gt;"",'Catalog Master'!AB14&lt;&gt;""),"Y","N")</f>
        <v/>
      </c>
      <c r="J14">
        <f>'Catalog Master'!N14</f>
        <v/>
      </c>
      <c r="K14">
        <f>'Catalog Master'!AL14</f>
        <v/>
      </c>
      <c r="L14">
        <f>IF(AND(E14="Y",F14="Y",G14="Y",H14="Y",I14="Y"),"Y","N")</f>
        <v/>
      </c>
    </row>
    <row r="15">
      <c r="A15">
        <f>'Catalog Master'!A15</f>
        <v/>
      </c>
      <c r="B15">
        <f>'Catalog Master'!B15</f>
        <v/>
      </c>
      <c r="C15">
        <f>'Catalog Master'!O15</f>
        <v/>
      </c>
      <c r="D15">
        <f>'Catalog Master'!F15</f>
        <v/>
      </c>
      <c r="E15">
        <f>IF('Catalog Master'!Q15&lt;&gt;"","Y","N")</f>
        <v/>
      </c>
      <c r="F15">
        <f>IF('Catalog Master'!S15&lt;&gt;"","Y","N")</f>
        <v/>
      </c>
      <c r="G15">
        <f>IF('Catalog Master'!X15&lt;&gt;"","Y","N")</f>
        <v/>
      </c>
      <c r="H15">
        <f>IF('Catalog Master'!V15&lt;&gt;"","Y","N")</f>
        <v/>
      </c>
      <c r="I15">
        <f>IF(AND('Catalog Master'!Z15&lt;&gt;"",'Catalog Master'!AA15&lt;&gt;"",'Catalog Master'!AB15&lt;&gt;""),"Y","N")</f>
        <v/>
      </c>
      <c r="J15">
        <f>'Catalog Master'!N15</f>
        <v/>
      </c>
      <c r="K15">
        <f>'Catalog Master'!AL15</f>
        <v/>
      </c>
      <c r="L15">
        <f>IF(AND(E15="Y",F15="Y",G15="Y",H15="Y",I15="Y"),"Y","N")</f>
        <v/>
      </c>
    </row>
    <row r="16">
      <c r="A16">
        <f>'Catalog Master'!A16</f>
        <v/>
      </c>
      <c r="B16">
        <f>'Catalog Master'!B16</f>
        <v/>
      </c>
      <c r="C16">
        <f>'Catalog Master'!O16</f>
        <v/>
      </c>
      <c r="D16">
        <f>'Catalog Master'!F16</f>
        <v/>
      </c>
      <c r="E16">
        <f>IF('Catalog Master'!Q16&lt;&gt;"","Y","N")</f>
        <v/>
      </c>
      <c r="F16">
        <f>IF('Catalog Master'!S16&lt;&gt;"","Y","N")</f>
        <v/>
      </c>
      <c r="G16">
        <f>IF('Catalog Master'!X16&lt;&gt;"","Y","N")</f>
        <v/>
      </c>
      <c r="H16">
        <f>IF('Catalog Master'!V16&lt;&gt;"","Y","N")</f>
        <v/>
      </c>
      <c r="I16">
        <f>IF(AND('Catalog Master'!Z16&lt;&gt;"",'Catalog Master'!AA16&lt;&gt;"",'Catalog Master'!AB16&lt;&gt;""),"Y","N")</f>
        <v/>
      </c>
      <c r="J16">
        <f>'Catalog Master'!N16</f>
        <v/>
      </c>
      <c r="K16">
        <f>'Catalog Master'!AL16</f>
        <v/>
      </c>
      <c r="L16">
        <f>IF(AND(E16="Y",F16="Y",G16="Y",H16="Y",I16="Y"),"Y","N")</f>
        <v/>
      </c>
    </row>
    <row r="17">
      <c r="A17">
        <f>'Catalog Master'!A17</f>
        <v/>
      </c>
      <c r="B17">
        <f>'Catalog Master'!B17</f>
        <v/>
      </c>
      <c r="C17">
        <f>'Catalog Master'!O17</f>
        <v/>
      </c>
      <c r="D17">
        <f>'Catalog Master'!F17</f>
        <v/>
      </c>
      <c r="E17">
        <f>IF('Catalog Master'!Q17&lt;&gt;"","Y","N")</f>
        <v/>
      </c>
      <c r="F17">
        <f>IF('Catalog Master'!S17&lt;&gt;"","Y","N")</f>
        <v/>
      </c>
      <c r="G17">
        <f>IF('Catalog Master'!X17&lt;&gt;"","Y","N")</f>
        <v/>
      </c>
      <c r="H17">
        <f>IF('Catalog Master'!V17&lt;&gt;"","Y","N")</f>
        <v/>
      </c>
      <c r="I17">
        <f>IF(AND('Catalog Master'!Z17&lt;&gt;"",'Catalog Master'!AA17&lt;&gt;"",'Catalog Master'!AB17&lt;&gt;""),"Y","N")</f>
        <v/>
      </c>
      <c r="J17">
        <f>'Catalog Master'!N17</f>
        <v/>
      </c>
      <c r="K17">
        <f>'Catalog Master'!AL17</f>
        <v/>
      </c>
      <c r="L17">
        <f>IF(AND(E17="Y",F17="Y",G17="Y",H17="Y",I17="Y"),"Y","N")</f>
        <v/>
      </c>
    </row>
    <row r="18">
      <c r="A18">
        <f>'Catalog Master'!A18</f>
        <v/>
      </c>
      <c r="B18">
        <f>'Catalog Master'!B18</f>
        <v/>
      </c>
      <c r="C18">
        <f>'Catalog Master'!O18</f>
        <v/>
      </c>
      <c r="D18">
        <f>'Catalog Master'!F18</f>
        <v/>
      </c>
      <c r="E18">
        <f>IF('Catalog Master'!Q18&lt;&gt;"","Y","N")</f>
        <v/>
      </c>
      <c r="F18">
        <f>IF('Catalog Master'!S18&lt;&gt;"","Y","N")</f>
        <v/>
      </c>
      <c r="G18">
        <f>IF('Catalog Master'!X18&lt;&gt;"","Y","N")</f>
        <v/>
      </c>
      <c r="H18">
        <f>IF('Catalog Master'!V18&lt;&gt;"","Y","N")</f>
        <v/>
      </c>
      <c r="I18">
        <f>IF(AND('Catalog Master'!Z18&lt;&gt;"",'Catalog Master'!AA18&lt;&gt;"",'Catalog Master'!AB18&lt;&gt;""),"Y","N")</f>
        <v/>
      </c>
      <c r="J18">
        <f>'Catalog Master'!N18</f>
        <v/>
      </c>
      <c r="K18">
        <f>'Catalog Master'!AL18</f>
        <v/>
      </c>
      <c r="L18">
        <f>IF(AND(E18="Y",F18="Y",G18="Y",H18="Y",I18="Y"),"Y","N")</f>
        <v/>
      </c>
    </row>
    <row r="19">
      <c r="A19">
        <f>'Catalog Master'!A19</f>
        <v/>
      </c>
      <c r="B19">
        <f>'Catalog Master'!B19</f>
        <v/>
      </c>
      <c r="C19">
        <f>'Catalog Master'!O19</f>
        <v/>
      </c>
      <c r="D19">
        <f>'Catalog Master'!F19</f>
        <v/>
      </c>
      <c r="E19">
        <f>IF('Catalog Master'!Q19&lt;&gt;"","Y","N")</f>
        <v/>
      </c>
      <c r="F19">
        <f>IF('Catalog Master'!S19&lt;&gt;"","Y","N")</f>
        <v/>
      </c>
      <c r="G19">
        <f>IF('Catalog Master'!X19&lt;&gt;"","Y","N")</f>
        <v/>
      </c>
      <c r="H19">
        <f>IF('Catalog Master'!V19&lt;&gt;"","Y","N")</f>
        <v/>
      </c>
      <c r="I19">
        <f>IF(AND('Catalog Master'!Z19&lt;&gt;"",'Catalog Master'!AA19&lt;&gt;"",'Catalog Master'!AB19&lt;&gt;""),"Y","N")</f>
        <v/>
      </c>
      <c r="J19">
        <f>'Catalog Master'!N19</f>
        <v/>
      </c>
      <c r="K19">
        <f>'Catalog Master'!AL19</f>
        <v/>
      </c>
      <c r="L19">
        <f>IF(AND(E19="Y",F19="Y",G19="Y",H19="Y",I19="Y"),"Y","N")</f>
        <v/>
      </c>
    </row>
    <row r="20">
      <c r="A20">
        <f>'Catalog Master'!A20</f>
        <v/>
      </c>
      <c r="B20">
        <f>'Catalog Master'!B20</f>
        <v/>
      </c>
      <c r="C20">
        <f>'Catalog Master'!O20</f>
        <v/>
      </c>
      <c r="D20">
        <f>'Catalog Master'!F20</f>
        <v/>
      </c>
      <c r="E20">
        <f>IF('Catalog Master'!Q20&lt;&gt;"","Y","N")</f>
        <v/>
      </c>
      <c r="F20">
        <f>IF('Catalog Master'!S20&lt;&gt;"","Y","N")</f>
        <v/>
      </c>
      <c r="G20">
        <f>IF('Catalog Master'!X20&lt;&gt;"","Y","N")</f>
        <v/>
      </c>
      <c r="H20">
        <f>IF('Catalog Master'!V20&lt;&gt;"","Y","N")</f>
        <v/>
      </c>
      <c r="I20">
        <f>IF(AND('Catalog Master'!Z20&lt;&gt;"",'Catalog Master'!AA20&lt;&gt;"",'Catalog Master'!AB20&lt;&gt;""),"Y","N")</f>
        <v/>
      </c>
      <c r="J20">
        <f>'Catalog Master'!N20</f>
        <v/>
      </c>
      <c r="K20">
        <f>'Catalog Master'!AL20</f>
        <v/>
      </c>
      <c r="L20">
        <f>IF(AND(E20="Y",F20="Y",G20="Y",H20="Y",I20="Y"),"Y","N")</f>
        <v/>
      </c>
    </row>
    <row r="21">
      <c r="A21">
        <f>'Catalog Master'!A21</f>
        <v/>
      </c>
      <c r="B21">
        <f>'Catalog Master'!B21</f>
        <v/>
      </c>
      <c r="C21">
        <f>'Catalog Master'!O21</f>
        <v/>
      </c>
      <c r="D21">
        <f>'Catalog Master'!F21</f>
        <v/>
      </c>
      <c r="E21">
        <f>IF('Catalog Master'!Q21&lt;&gt;"","Y","N")</f>
        <v/>
      </c>
      <c r="F21">
        <f>IF('Catalog Master'!S21&lt;&gt;"","Y","N")</f>
        <v/>
      </c>
      <c r="G21">
        <f>IF('Catalog Master'!X21&lt;&gt;"","Y","N")</f>
        <v/>
      </c>
      <c r="H21">
        <f>IF('Catalog Master'!V21&lt;&gt;"","Y","N")</f>
        <v/>
      </c>
      <c r="I21">
        <f>IF(AND('Catalog Master'!Z21&lt;&gt;"",'Catalog Master'!AA21&lt;&gt;"",'Catalog Master'!AB21&lt;&gt;""),"Y","N")</f>
        <v/>
      </c>
      <c r="J21">
        <f>'Catalog Master'!N21</f>
        <v/>
      </c>
      <c r="K21">
        <f>'Catalog Master'!AL21</f>
        <v/>
      </c>
      <c r="L21">
        <f>IF(AND(E21="Y",F21="Y",G21="Y",H21="Y",I21="Y"),"Y","N")</f>
        <v/>
      </c>
    </row>
    <row r="22">
      <c r="A22">
        <f>'Catalog Master'!A22</f>
        <v/>
      </c>
      <c r="B22">
        <f>'Catalog Master'!B22</f>
        <v/>
      </c>
      <c r="C22">
        <f>'Catalog Master'!O22</f>
        <v/>
      </c>
      <c r="D22">
        <f>'Catalog Master'!F22</f>
        <v/>
      </c>
      <c r="E22">
        <f>IF('Catalog Master'!Q22&lt;&gt;"","Y","N")</f>
        <v/>
      </c>
      <c r="F22">
        <f>IF('Catalog Master'!S22&lt;&gt;"","Y","N")</f>
        <v/>
      </c>
      <c r="G22">
        <f>IF('Catalog Master'!X22&lt;&gt;"","Y","N")</f>
        <v/>
      </c>
      <c r="H22">
        <f>IF('Catalog Master'!V22&lt;&gt;"","Y","N")</f>
        <v/>
      </c>
      <c r="I22">
        <f>IF(AND('Catalog Master'!Z22&lt;&gt;"",'Catalog Master'!AA22&lt;&gt;"",'Catalog Master'!AB22&lt;&gt;""),"Y","N")</f>
        <v/>
      </c>
      <c r="J22">
        <f>'Catalog Master'!N22</f>
        <v/>
      </c>
      <c r="K22">
        <f>'Catalog Master'!AL22</f>
        <v/>
      </c>
      <c r="L22">
        <f>IF(AND(E22="Y",F22="Y",G22="Y",H22="Y",I22="Y"),"Y","N")</f>
        <v/>
      </c>
    </row>
    <row r="23">
      <c r="A23">
        <f>'Catalog Master'!A23</f>
        <v/>
      </c>
      <c r="B23">
        <f>'Catalog Master'!B23</f>
        <v/>
      </c>
      <c r="C23">
        <f>'Catalog Master'!O23</f>
        <v/>
      </c>
      <c r="D23">
        <f>'Catalog Master'!F23</f>
        <v/>
      </c>
      <c r="E23">
        <f>IF('Catalog Master'!Q23&lt;&gt;"","Y","N")</f>
        <v/>
      </c>
      <c r="F23">
        <f>IF('Catalog Master'!S23&lt;&gt;"","Y","N")</f>
        <v/>
      </c>
      <c r="G23">
        <f>IF('Catalog Master'!X23&lt;&gt;"","Y","N")</f>
        <v/>
      </c>
      <c r="H23">
        <f>IF('Catalog Master'!V23&lt;&gt;"","Y","N")</f>
        <v/>
      </c>
      <c r="I23">
        <f>IF(AND('Catalog Master'!Z23&lt;&gt;"",'Catalog Master'!AA23&lt;&gt;"",'Catalog Master'!AB23&lt;&gt;""),"Y","N")</f>
        <v/>
      </c>
      <c r="J23">
        <f>'Catalog Master'!N23</f>
        <v/>
      </c>
      <c r="K23">
        <f>'Catalog Master'!AL23</f>
        <v/>
      </c>
      <c r="L23">
        <f>IF(AND(E23="Y",F23="Y",G23="Y",H23="Y",I23="Y"),"Y","N")</f>
        <v/>
      </c>
    </row>
    <row r="24">
      <c r="A24">
        <f>'Catalog Master'!A24</f>
        <v/>
      </c>
      <c r="B24">
        <f>'Catalog Master'!B24</f>
        <v/>
      </c>
      <c r="C24">
        <f>'Catalog Master'!O24</f>
        <v/>
      </c>
      <c r="D24">
        <f>'Catalog Master'!F24</f>
        <v/>
      </c>
      <c r="E24">
        <f>IF('Catalog Master'!Q24&lt;&gt;"","Y","N")</f>
        <v/>
      </c>
      <c r="F24">
        <f>IF('Catalog Master'!S24&lt;&gt;"","Y","N")</f>
        <v/>
      </c>
      <c r="G24">
        <f>IF('Catalog Master'!X24&lt;&gt;"","Y","N")</f>
        <v/>
      </c>
      <c r="H24">
        <f>IF('Catalog Master'!V24&lt;&gt;"","Y","N")</f>
        <v/>
      </c>
      <c r="I24">
        <f>IF(AND('Catalog Master'!Z24&lt;&gt;"",'Catalog Master'!AA24&lt;&gt;"",'Catalog Master'!AB24&lt;&gt;""),"Y","N")</f>
        <v/>
      </c>
      <c r="J24">
        <f>'Catalog Master'!N24</f>
        <v/>
      </c>
      <c r="K24">
        <f>'Catalog Master'!AL24</f>
        <v/>
      </c>
      <c r="L24">
        <f>IF(AND(E24="Y",F24="Y",G24="Y",H24="Y",I24="Y"),"Y","N")</f>
        <v/>
      </c>
    </row>
    <row r="25">
      <c r="A25">
        <f>'Catalog Master'!A25</f>
        <v/>
      </c>
      <c r="B25">
        <f>'Catalog Master'!B25</f>
        <v/>
      </c>
      <c r="C25">
        <f>'Catalog Master'!O25</f>
        <v/>
      </c>
      <c r="D25">
        <f>'Catalog Master'!F25</f>
        <v/>
      </c>
      <c r="E25">
        <f>IF('Catalog Master'!Q25&lt;&gt;"","Y","N")</f>
        <v/>
      </c>
      <c r="F25">
        <f>IF('Catalog Master'!S25&lt;&gt;"","Y","N")</f>
        <v/>
      </c>
      <c r="G25">
        <f>IF('Catalog Master'!X25&lt;&gt;"","Y","N")</f>
        <v/>
      </c>
      <c r="H25">
        <f>IF('Catalog Master'!V25&lt;&gt;"","Y","N")</f>
        <v/>
      </c>
      <c r="I25">
        <f>IF(AND('Catalog Master'!Z25&lt;&gt;"",'Catalog Master'!AA25&lt;&gt;"",'Catalog Master'!AB25&lt;&gt;""),"Y","N")</f>
        <v/>
      </c>
      <c r="J25">
        <f>'Catalog Master'!N25</f>
        <v/>
      </c>
      <c r="K25">
        <f>'Catalog Master'!AL25</f>
        <v/>
      </c>
      <c r="L25">
        <f>IF(AND(E25="Y",F25="Y",G25="Y",H25="Y",I25="Y"),"Y","N")</f>
        <v/>
      </c>
    </row>
    <row r="26">
      <c r="A26">
        <f>'Catalog Master'!A26</f>
        <v/>
      </c>
      <c r="B26">
        <f>'Catalog Master'!B26</f>
        <v/>
      </c>
      <c r="C26">
        <f>'Catalog Master'!O26</f>
        <v/>
      </c>
      <c r="D26">
        <f>'Catalog Master'!F26</f>
        <v/>
      </c>
      <c r="E26">
        <f>IF('Catalog Master'!Q26&lt;&gt;"","Y","N")</f>
        <v/>
      </c>
      <c r="F26">
        <f>IF('Catalog Master'!S26&lt;&gt;"","Y","N")</f>
        <v/>
      </c>
      <c r="G26">
        <f>IF('Catalog Master'!X26&lt;&gt;"","Y","N")</f>
        <v/>
      </c>
      <c r="H26">
        <f>IF('Catalog Master'!V26&lt;&gt;"","Y","N")</f>
        <v/>
      </c>
      <c r="I26">
        <f>IF(AND('Catalog Master'!Z26&lt;&gt;"",'Catalog Master'!AA26&lt;&gt;"",'Catalog Master'!AB26&lt;&gt;""),"Y","N")</f>
        <v/>
      </c>
      <c r="J26">
        <f>'Catalog Master'!N26</f>
        <v/>
      </c>
      <c r="K26">
        <f>'Catalog Master'!AL26</f>
        <v/>
      </c>
      <c r="L26">
        <f>IF(AND(E26="Y",F26="Y",G26="Y",H26="Y",I26="Y"),"Y","N")</f>
        <v/>
      </c>
    </row>
    <row r="27">
      <c r="A27">
        <f>'Catalog Master'!A27</f>
        <v/>
      </c>
      <c r="B27">
        <f>'Catalog Master'!B27</f>
        <v/>
      </c>
      <c r="C27">
        <f>'Catalog Master'!O27</f>
        <v/>
      </c>
      <c r="D27">
        <f>'Catalog Master'!F27</f>
        <v/>
      </c>
      <c r="E27">
        <f>IF('Catalog Master'!Q27&lt;&gt;"","Y","N")</f>
        <v/>
      </c>
      <c r="F27">
        <f>IF('Catalog Master'!S27&lt;&gt;"","Y","N")</f>
        <v/>
      </c>
      <c r="G27">
        <f>IF('Catalog Master'!X27&lt;&gt;"","Y","N")</f>
        <v/>
      </c>
      <c r="H27">
        <f>IF('Catalog Master'!V27&lt;&gt;"","Y","N")</f>
        <v/>
      </c>
      <c r="I27">
        <f>IF(AND('Catalog Master'!Z27&lt;&gt;"",'Catalog Master'!AA27&lt;&gt;"",'Catalog Master'!AB27&lt;&gt;""),"Y","N")</f>
        <v/>
      </c>
      <c r="J27">
        <f>'Catalog Master'!N27</f>
        <v/>
      </c>
      <c r="K27">
        <f>'Catalog Master'!AL27</f>
        <v/>
      </c>
      <c r="L27">
        <f>IF(AND(E27="Y",F27="Y",G27="Y",H27="Y",I27="Y"),"Y","N")</f>
        <v/>
      </c>
    </row>
    <row r="28">
      <c r="A28">
        <f>'Catalog Master'!A28</f>
        <v/>
      </c>
      <c r="B28">
        <f>'Catalog Master'!B28</f>
        <v/>
      </c>
      <c r="C28">
        <f>'Catalog Master'!O28</f>
        <v/>
      </c>
      <c r="D28">
        <f>'Catalog Master'!F28</f>
        <v/>
      </c>
      <c r="E28">
        <f>IF('Catalog Master'!Q28&lt;&gt;"","Y","N")</f>
        <v/>
      </c>
      <c r="F28">
        <f>IF('Catalog Master'!S28&lt;&gt;"","Y","N")</f>
        <v/>
      </c>
      <c r="G28">
        <f>IF('Catalog Master'!X28&lt;&gt;"","Y","N")</f>
        <v/>
      </c>
      <c r="H28">
        <f>IF('Catalog Master'!V28&lt;&gt;"","Y","N")</f>
        <v/>
      </c>
      <c r="I28">
        <f>IF(AND('Catalog Master'!Z28&lt;&gt;"",'Catalog Master'!AA28&lt;&gt;"",'Catalog Master'!AB28&lt;&gt;""),"Y","N")</f>
        <v/>
      </c>
      <c r="J28">
        <f>'Catalog Master'!N28</f>
        <v/>
      </c>
      <c r="K28">
        <f>'Catalog Master'!AL28</f>
        <v/>
      </c>
      <c r="L28">
        <f>IF(AND(E28="Y",F28="Y",G28="Y",H28="Y",I28="Y"),"Y","N")</f>
        <v/>
      </c>
    </row>
    <row r="29">
      <c r="A29">
        <f>'Catalog Master'!A29</f>
        <v/>
      </c>
      <c r="B29">
        <f>'Catalog Master'!B29</f>
        <v/>
      </c>
      <c r="C29">
        <f>'Catalog Master'!O29</f>
        <v/>
      </c>
      <c r="D29">
        <f>'Catalog Master'!F29</f>
        <v/>
      </c>
      <c r="E29">
        <f>IF('Catalog Master'!Q29&lt;&gt;"","Y","N")</f>
        <v/>
      </c>
      <c r="F29">
        <f>IF('Catalog Master'!S29&lt;&gt;"","Y","N")</f>
        <v/>
      </c>
      <c r="G29">
        <f>IF('Catalog Master'!X29&lt;&gt;"","Y","N")</f>
        <v/>
      </c>
      <c r="H29">
        <f>IF('Catalog Master'!V29&lt;&gt;"","Y","N")</f>
        <v/>
      </c>
      <c r="I29">
        <f>IF(AND('Catalog Master'!Z29&lt;&gt;"",'Catalog Master'!AA29&lt;&gt;"",'Catalog Master'!AB29&lt;&gt;""),"Y","N")</f>
        <v/>
      </c>
      <c r="J29">
        <f>'Catalog Master'!N29</f>
        <v/>
      </c>
      <c r="K29">
        <f>'Catalog Master'!AL29</f>
        <v/>
      </c>
      <c r="L29">
        <f>IF(AND(E29="Y",F29="Y",G29="Y",H29="Y",I29="Y"),"Y","N")</f>
        <v/>
      </c>
    </row>
    <row r="30">
      <c r="A30">
        <f>'Catalog Master'!A30</f>
        <v/>
      </c>
      <c r="B30">
        <f>'Catalog Master'!B30</f>
        <v/>
      </c>
      <c r="C30">
        <f>'Catalog Master'!O30</f>
        <v/>
      </c>
      <c r="D30">
        <f>'Catalog Master'!F30</f>
        <v/>
      </c>
      <c r="E30">
        <f>IF('Catalog Master'!Q30&lt;&gt;"","Y","N")</f>
        <v/>
      </c>
      <c r="F30">
        <f>IF('Catalog Master'!S30&lt;&gt;"","Y","N")</f>
        <v/>
      </c>
      <c r="G30">
        <f>IF('Catalog Master'!X30&lt;&gt;"","Y","N")</f>
        <v/>
      </c>
      <c r="H30">
        <f>IF('Catalog Master'!V30&lt;&gt;"","Y","N")</f>
        <v/>
      </c>
      <c r="I30">
        <f>IF(AND('Catalog Master'!Z30&lt;&gt;"",'Catalog Master'!AA30&lt;&gt;"",'Catalog Master'!AB30&lt;&gt;""),"Y","N")</f>
        <v/>
      </c>
      <c r="J30">
        <f>'Catalog Master'!N30</f>
        <v/>
      </c>
      <c r="K30">
        <f>'Catalog Master'!AL30</f>
        <v/>
      </c>
      <c r="L30">
        <f>IF(AND(E30="Y",F30="Y",G30="Y",H30="Y",I30="Y"),"Y","N")</f>
        <v/>
      </c>
    </row>
    <row r="31">
      <c r="A31">
        <f>'Catalog Master'!A31</f>
        <v/>
      </c>
      <c r="B31">
        <f>'Catalog Master'!B31</f>
        <v/>
      </c>
      <c r="C31">
        <f>'Catalog Master'!O31</f>
        <v/>
      </c>
      <c r="D31">
        <f>'Catalog Master'!F31</f>
        <v/>
      </c>
      <c r="E31">
        <f>IF('Catalog Master'!Q31&lt;&gt;"","Y","N")</f>
        <v/>
      </c>
      <c r="F31">
        <f>IF('Catalog Master'!S31&lt;&gt;"","Y","N")</f>
        <v/>
      </c>
      <c r="G31">
        <f>IF('Catalog Master'!X31&lt;&gt;"","Y","N")</f>
        <v/>
      </c>
      <c r="H31">
        <f>IF('Catalog Master'!V31&lt;&gt;"","Y","N")</f>
        <v/>
      </c>
      <c r="I31">
        <f>IF(AND('Catalog Master'!Z31&lt;&gt;"",'Catalog Master'!AA31&lt;&gt;"",'Catalog Master'!AB31&lt;&gt;""),"Y","N")</f>
        <v/>
      </c>
      <c r="J31">
        <f>'Catalog Master'!N31</f>
        <v/>
      </c>
      <c r="K31">
        <f>'Catalog Master'!AL31</f>
        <v/>
      </c>
      <c r="L31">
        <f>IF(AND(E31="Y",F31="Y",G31="Y",H31="Y",I31="Y"),"Y","N")</f>
        <v/>
      </c>
    </row>
    <row r="32">
      <c r="A32">
        <f>'Catalog Master'!A32</f>
        <v/>
      </c>
      <c r="B32">
        <f>'Catalog Master'!B32</f>
        <v/>
      </c>
      <c r="C32">
        <f>'Catalog Master'!O32</f>
        <v/>
      </c>
      <c r="D32">
        <f>'Catalog Master'!F32</f>
        <v/>
      </c>
      <c r="E32">
        <f>IF('Catalog Master'!Q32&lt;&gt;"","Y","N")</f>
        <v/>
      </c>
      <c r="F32">
        <f>IF('Catalog Master'!S32&lt;&gt;"","Y","N")</f>
        <v/>
      </c>
      <c r="G32">
        <f>IF('Catalog Master'!X32&lt;&gt;"","Y","N")</f>
        <v/>
      </c>
      <c r="H32">
        <f>IF('Catalog Master'!V32&lt;&gt;"","Y","N")</f>
        <v/>
      </c>
      <c r="I32">
        <f>IF(AND('Catalog Master'!Z32&lt;&gt;"",'Catalog Master'!AA32&lt;&gt;"",'Catalog Master'!AB32&lt;&gt;""),"Y","N")</f>
        <v/>
      </c>
      <c r="J32">
        <f>'Catalog Master'!N32</f>
        <v/>
      </c>
      <c r="K32">
        <f>'Catalog Master'!AL32</f>
        <v/>
      </c>
      <c r="L32">
        <f>IF(AND(E32="Y",F32="Y",G32="Y",H32="Y",I32="Y"),"Y","N")</f>
        <v/>
      </c>
    </row>
    <row r="33">
      <c r="A33">
        <f>'Catalog Master'!A33</f>
        <v/>
      </c>
      <c r="B33">
        <f>'Catalog Master'!B33</f>
        <v/>
      </c>
      <c r="C33">
        <f>'Catalog Master'!O33</f>
        <v/>
      </c>
      <c r="D33">
        <f>'Catalog Master'!F33</f>
        <v/>
      </c>
      <c r="E33">
        <f>IF('Catalog Master'!Q33&lt;&gt;"","Y","N")</f>
        <v/>
      </c>
      <c r="F33">
        <f>IF('Catalog Master'!S33&lt;&gt;"","Y","N")</f>
        <v/>
      </c>
      <c r="G33">
        <f>IF('Catalog Master'!X33&lt;&gt;"","Y","N")</f>
        <v/>
      </c>
      <c r="H33">
        <f>IF('Catalog Master'!V33&lt;&gt;"","Y","N")</f>
        <v/>
      </c>
      <c r="I33">
        <f>IF(AND('Catalog Master'!Z33&lt;&gt;"",'Catalog Master'!AA33&lt;&gt;"",'Catalog Master'!AB33&lt;&gt;""),"Y","N")</f>
        <v/>
      </c>
      <c r="J33">
        <f>'Catalog Master'!N33</f>
        <v/>
      </c>
      <c r="K33">
        <f>'Catalog Master'!AL33</f>
        <v/>
      </c>
      <c r="L33">
        <f>IF(AND(E33="Y",F33="Y",G33="Y",H33="Y",I33="Y"),"Y","N")</f>
        <v/>
      </c>
    </row>
    <row r="34">
      <c r="A34">
        <f>'Catalog Master'!A34</f>
        <v/>
      </c>
      <c r="B34">
        <f>'Catalog Master'!B34</f>
        <v/>
      </c>
      <c r="C34">
        <f>'Catalog Master'!O34</f>
        <v/>
      </c>
      <c r="D34">
        <f>'Catalog Master'!F34</f>
        <v/>
      </c>
      <c r="E34">
        <f>IF('Catalog Master'!Q34&lt;&gt;"","Y","N")</f>
        <v/>
      </c>
      <c r="F34">
        <f>IF('Catalog Master'!S34&lt;&gt;"","Y","N")</f>
        <v/>
      </c>
      <c r="G34">
        <f>IF('Catalog Master'!X34&lt;&gt;"","Y","N")</f>
        <v/>
      </c>
      <c r="H34">
        <f>IF('Catalog Master'!V34&lt;&gt;"","Y","N")</f>
        <v/>
      </c>
      <c r="I34">
        <f>IF(AND('Catalog Master'!Z34&lt;&gt;"",'Catalog Master'!AA34&lt;&gt;"",'Catalog Master'!AB34&lt;&gt;""),"Y","N")</f>
        <v/>
      </c>
      <c r="J34">
        <f>'Catalog Master'!N34</f>
        <v/>
      </c>
      <c r="K34">
        <f>'Catalog Master'!AL34</f>
        <v/>
      </c>
      <c r="L34">
        <f>IF(AND(E34="Y",F34="Y",G34="Y",H34="Y",I34="Y"),"Y","N")</f>
        <v/>
      </c>
    </row>
    <row r="35">
      <c r="A35">
        <f>'Catalog Master'!A35</f>
        <v/>
      </c>
      <c r="B35">
        <f>'Catalog Master'!B35</f>
        <v/>
      </c>
      <c r="C35">
        <f>'Catalog Master'!O35</f>
        <v/>
      </c>
      <c r="D35">
        <f>'Catalog Master'!F35</f>
        <v/>
      </c>
      <c r="E35">
        <f>IF('Catalog Master'!Q35&lt;&gt;"","Y","N")</f>
        <v/>
      </c>
      <c r="F35">
        <f>IF('Catalog Master'!S35&lt;&gt;"","Y","N")</f>
        <v/>
      </c>
      <c r="G35">
        <f>IF('Catalog Master'!X35&lt;&gt;"","Y","N")</f>
        <v/>
      </c>
      <c r="H35">
        <f>IF('Catalog Master'!V35&lt;&gt;"","Y","N")</f>
        <v/>
      </c>
      <c r="I35">
        <f>IF(AND('Catalog Master'!Z35&lt;&gt;"",'Catalog Master'!AA35&lt;&gt;"",'Catalog Master'!AB35&lt;&gt;""),"Y","N")</f>
        <v/>
      </c>
      <c r="J35">
        <f>'Catalog Master'!N35</f>
        <v/>
      </c>
      <c r="K35">
        <f>'Catalog Master'!AL35</f>
        <v/>
      </c>
      <c r="L35">
        <f>IF(AND(E35="Y",F35="Y",G35="Y",H35="Y",I35="Y"),"Y","N")</f>
        <v/>
      </c>
    </row>
    <row r="36">
      <c r="A36">
        <f>'Catalog Master'!A36</f>
        <v/>
      </c>
      <c r="B36">
        <f>'Catalog Master'!B36</f>
        <v/>
      </c>
      <c r="C36">
        <f>'Catalog Master'!O36</f>
        <v/>
      </c>
      <c r="D36">
        <f>'Catalog Master'!F36</f>
        <v/>
      </c>
      <c r="E36">
        <f>IF('Catalog Master'!Q36&lt;&gt;"","Y","N")</f>
        <v/>
      </c>
      <c r="F36">
        <f>IF('Catalog Master'!S36&lt;&gt;"","Y","N")</f>
        <v/>
      </c>
      <c r="G36">
        <f>IF('Catalog Master'!X36&lt;&gt;"","Y","N")</f>
        <v/>
      </c>
      <c r="H36">
        <f>IF('Catalog Master'!V36&lt;&gt;"","Y","N")</f>
        <v/>
      </c>
      <c r="I36">
        <f>IF(AND('Catalog Master'!Z36&lt;&gt;"",'Catalog Master'!AA36&lt;&gt;"",'Catalog Master'!AB36&lt;&gt;""),"Y","N")</f>
        <v/>
      </c>
      <c r="J36">
        <f>'Catalog Master'!N36</f>
        <v/>
      </c>
      <c r="K36">
        <f>'Catalog Master'!AL36</f>
        <v/>
      </c>
      <c r="L36">
        <f>IF(AND(E36="Y",F36="Y",G36="Y",H36="Y",I36="Y"),"Y","N")</f>
        <v/>
      </c>
    </row>
    <row r="37">
      <c r="A37">
        <f>'Catalog Master'!A37</f>
        <v/>
      </c>
      <c r="B37">
        <f>'Catalog Master'!B37</f>
        <v/>
      </c>
      <c r="C37">
        <f>'Catalog Master'!O37</f>
        <v/>
      </c>
      <c r="D37">
        <f>'Catalog Master'!F37</f>
        <v/>
      </c>
      <c r="E37">
        <f>IF('Catalog Master'!Q37&lt;&gt;"","Y","N")</f>
        <v/>
      </c>
      <c r="F37">
        <f>IF('Catalog Master'!S37&lt;&gt;"","Y","N")</f>
        <v/>
      </c>
      <c r="G37">
        <f>IF('Catalog Master'!X37&lt;&gt;"","Y","N")</f>
        <v/>
      </c>
      <c r="H37">
        <f>IF('Catalog Master'!V37&lt;&gt;"","Y","N")</f>
        <v/>
      </c>
      <c r="I37">
        <f>IF(AND('Catalog Master'!Z37&lt;&gt;"",'Catalog Master'!AA37&lt;&gt;"",'Catalog Master'!AB37&lt;&gt;""),"Y","N")</f>
        <v/>
      </c>
      <c r="J37">
        <f>'Catalog Master'!N37</f>
        <v/>
      </c>
      <c r="K37">
        <f>'Catalog Master'!AL37</f>
        <v/>
      </c>
      <c r="L37">
        <f>IF(AND(E37="Y",F37="Y",G37="Y",H37="Y",I37="Y"),"Y","N")</f>
        <v/>
      </c>
    </row>
    <row r="38">
      <c r="A38">
        <f>'Catalog Master'!A38</f>
        <v/>
      </c>
      <c r="B38">
        <f>'Catalog Master'!B38</f>
        <v/>
      </c>
      <c r="C38">
        <f>'Catalog Master'!O38</f>
        <v/>
      </c>
      <c r="D38">
        <f>'Catalog Master'!F38</f>
        <v/>
      </c>
      <c r="E38">
        <f>IF('Catalog Master'!Q38&lt;&gt;"","Y","N")</f>
        <v/>
      </c>
      <c r="F38">
        <f>IF('Catalog Master'!S38&lt;&gt;"","Y","N")</f>
        <v/>
      </c>
      <c r="G38">
        <f>IF('Catalog Master'!X38&lt;&gt;"","Y","N")</f>
        <v/>
      </c>
      <c r="H38">
        <f>IF('Catalog Master'!V38&lt;&gt;"","Y","N")</f>
        <v/>
      </c>
      <c r="I38">
        <f>IF(AND('Catalog Master'!Z38&lt;&gt;"",'Catalog Master'!AA38&lt;&gt;"",'Catalog Master'!AB38&lt;&gt;""),"Y","N")</f>
        <v/>
      </c>
      <c r="J38">
        <f>'Catalog Master'!N38</f>
        <v/>
      </c>
      <c r="K38">
        <f>'Catalog Master'!AL38</f>
        <v/>
      </c>
      <c r="L38">
        <f>IF(AND(E38="Y",F38="Y",G38="Y",H38="Y",I38="Y"),"Y","N")</f>
        <v/>
      </c>
    </row>
    <row r="39">
      <c r="A39">
        <f>'Catalog Master'!A39</f>
        <v/>
      </c>
      <c r="B39">
        <f>'Catalog Master'!B39</f>
        <v/>
      </c>
      <c r="C39">
        <f>'Catalog Master'!O39</f>
        <v/>
      </c>
      <c r="D39">
        <f>'Catalog Master'!F39</f>
        <v/>
      </c>
      <c r="E39">
        <f>IF('Catalog Master'!Q39&lt;&gt;"","Y","N")</f>
        <v/>
      </c>
      <c r="F39">
        <f>IF('Catalog Master'!S39&lt;&gt;"","Y","N")</f>
        <v/>
      </c>
      <c r="G39">
        <f>IF('Catalog Master'!X39&lt;&gt;"","Y","N")</f>
        <v/>
      </c>
      <c r="H39">
        <f>IF('Catalog Master'!V39&lt;&gt;"","Y","N")</f>
        <v/>
      </c>
      <c r="I39">
        <f>IF(AND('Catalog Master'!Z39&lt;&gt;"",'Catalog Master'!AA39&lt;&gt;"",'Catalog Master'!AB39&lt;&gt;""),"Y","N")</f>
        <v/>
      </c>
      <c r="J39">
        <f>'Catalog Master'!N39</f>
        <v/>
      </c>
      <c r="K39">
        <f>'Catalog Master'!AL39</f>
        <v/>
      </c>
      <c r="L39">
        <f>IF(AND(E39="Y",F39="Y",G39="Y",H39="Y",I39="Y"),"Y","N")</f>
        <v/>
      </c>
    </row>
    <row r="40">
      <c r="A40">
        <f>'Catalog Master'!A40</f>
        <v/>
      </c>
      <c r="B40">
        <f>'Catalog Master'!B40</f>
        <v/>
      </c>
      <c r="C40">
        <f>'Catalog Master'!O40</f>
        <v/>
      </c>
      <c r="D40">
        <f>'Catalog Master'!F40</f>
        <v/>
      </c>
      <c r="E40">
        <f>IF('Catalog Master'!Q40&lt;&gt;"","Y","N")</f>
        <v/>
      </c>
      <c r="F40">
        <f>IF('Catalog Master'!S40&lt;&gt;"","Y","N")</f>
        <v/>
      </c>
      <c r="G40">
        <f>IF('Catalog Master'!X40&lt;&gt;"","Y","N")</f>
        <v/>
      </c>
      <c r="H40">
        <f>IF('Catalog Master'!V40&lt;&gt;"","Y","N")</f>
        <v/>
      </c>
      <c r="I40">
        <f>IF(AND('Catalog Master'!Z40&lt;&gt;"",'Catalog Master'!AA40&lt;&gt;"",'Catalog Master'!AB40&lt;&gt;""),"Y","N")</f>
        <v/>
      </c>
      <c r="J40">
        <f>'Catalog Master'!N40</f>
        <v/>
      </c>
      <c r="K40">
        <f>'Catalog Master'!AL40</f>
        <v/>
      </c>
      <c r="L40">
        <f>IF(AND(E40="Y",F40="Y",G40="Y",H40="Y",I40="Y"),"Y","N")</f>
        <v/>
      </c>
    </row>
    <row r="41">
      <c r="A41">
        <f>'Catalog Master'!A41</f>
        <v/>
      </c>
      <c r="B41">
        <f>'Catalog Master'!B41</f>
        <v/>
      </c>
      <c r="C41">
        <f>'Catalog Master'!O41</f>
        <v/>
      </c>
      <c r="D41">
        <f>'Catalog Master'!F41</f>
        <v/>
      </c>
      <c r="E41">
        <f>IF('Catalog Master'!Q41&lt;&gt;"","Y","N")</f>
        <v/>
      </c>
      <c r="F41">
        <f>IF('Catalog Master'!S41&lt;&gt;"","Y","N")</f>
        <v/>
      </c>
      <c r="G41">
        <f>IF('Catalog Master'!X41&lt;&gt;"","Y","N")</f>
        <v/>
      </c>
      <c r="H41">
        <f>IF('Catalog Master'!V41&lt;&gt;"","Y","N")</f>
        <v/>
      </c>
      <c r="I41">
        <f>IF(AND('Catalog Master'!Z41&lt;&gt;"",'Catalog Master'!AA41&lt;&gt;"",'Catalog Master'!AB41&lt;&gt;""),"Y","N")</f>
        <v/>
      </c>
      <c r="J41">
        <f>'Catalog Master'!N41</f>
        <v/>
      </c>
      <c r="K41">
        <f>'Catalog Master'!AL41</f>
        <v/>
      </c>
      <c r="L41">
        <f>IF(AND(E41="Y",F41="Y",G41="Y",H41="Y",I41="Y"),"Y","N")</f>
        <v/>
      </c>
    </row>
    <row r="42">
      <c r="A42">
        <f>'Catalog Master'!A42</f>
        <v/>
      </c>
      <c r="B42">
        <f>'Catalog Master'!B42</f>
        <v/>
      </c>
      <c r="C42">
        <f>'Catalog Master'!O42</f>
        <v/>
      </c>
      <c r="D42">
        <f>'Catalog Master'!F42</f>
        <v/>
      </c>
      <c r="E42">
        <f>IF('Catalog Master'!Q42&lt;&gt;"","Y","N")</f>
        <v/>
      </c>
      <c r="F42">
        <f>IF('Catalog Master'!S42&lt;&gt;"","Y","N")</f>
        <v/>
      </c>
      <c r="G42">
        <f>IF('Catalog Master'!X42&lt;&gt;"","Y","N")</f>
        <v/>
      </c>
      <c r="H42">
        <f>IF('Catalog Master'!V42&lt;&gt;"","Y","N")</f>
        <v/>
      </c>
      <c r="I42">
        <f>IF(AND('Catalog Master'!Z42&lt;&gt;"",'Catalog Master'!AA42&lt;&gt;"",'Catalog Master'!AB42&lt;&gt;""),"Y","N")</f>
        <v/>
      </c>
      <c r="J42">
        <f>'Catalog Master'!N42</f>
        <v/>
      </c>
      <c r="K42">
        <f>'Catalog Master'!AL42</f>
        <v/>
      </c>
      <c r="L42">
        <f>IF(AND(E42="Y",F42="Y",G42="Y",H42="Y",I42="Y"),"Y","N")</f>
        <v/>
      </c>
    </row>
    <row r="43">
      <c r="A43">
        <f>'Catalog Master'!A43</f>
        <v/>
      </c>
      <c r="B43">
        <f>'Catalog Master'!B43</f>
        <v/>
      </c>
      <c r="C43">
        <f>'Catalog Master'!O43</f>
        <v/>
      </c>
      <c r="D43">
        <f>'Catalog Master'!F43</f>
        <v/>
      </c>
      <c r="E43">
        <f>IF('Catalog Master'!Q43&lt;&gt;"","Y","N")</f>
        <v/>
      </c>
      <c r="F43">
        <f>IF('Catalog Master'!S43&lt;&gt;"","Y","N")</f>
        <v/>
      </c>
      <c r="G43">
        <f>IF('Catalog Master'!X43&lt;&gt;"","Y","N")</f>
        <v/>
      </c>
      <c r="H43">
        <f>IF('Catalog Master'!V43&lt;&gt;"","Y","N")</f>
        <v/>
      </c>
      <c r="I43">
        <f>IF(AND('Catalog Master'!Z43&lt;&gt;"",'Catalog Master'!AA43&lt;&gt;"",'Catalog Master'!AB43&lt;&gt;""),"Y","N")</f>
        <v/>
      </c>
      <c r="J43">
        <f>'Catalog Master'!N43</f>
        <v/>
      </c>
      <c r="K43">
        <f>'Catalog Master'!AL43</f>
        <v/>
      </c>
      <c r="L43">
        <f>IF(AND(E43="Y",F43="Y",G43="Y",H43="Y",I43="Y"),"Y","N")</f>
        <v/>
      </c>
    </row>
    <row r="44">
      <c r="A44">
        <f>'Catalog Master'!A44</f>
        <v/>
      </c>
      <c r="B44">
        <f>'Catalog Master'!B44</f>
        <v/>
      </c>
      <c r="C44">
        <f>'Catalog Master'!O44</f>
        <v/>
      </c>
      <c r="D44">
        <f>'Catalog Master'!F44</f>
        <v/>
      </c>
      <c r="E44">
        <f>IF('Catalog Master'!Q44&lt;&gt;"","Y","N")</f>
        <v/>
      </c>
      <c r="F44">
        <f>IF('Catalog Master'!S44&lt;&gt;"","Y","N")</f>
        <v/>
      </c>
      <c r="G44">
        <f>IF('Catalog Master'!X44&lt;&gt;"","Y","N")</f>
        <v/>
      </c>
      <c r="H44">
        <f>IF('Catalog Master'!V44&lt;&gt;"","Y","N")</f>
        <v/>
      </c>
      <c r="I44">
        <f>IF(AND('Catalog Master'!Z44&lt;&gt;"",'Catalog Master'!AA44&lt;&gt;"",'Catalog Master'!AB44&lt;&gt;""),"Y","N")</f>
        <v/>
      </c>
      <c r="J44">
        <f>'Catalog Master'!N44</f>
        <v/>
      </c>
      <c r="K44">
        <f>'Catalog Master'!AL44</f>
        <v/>
      </c>
      <c r="L44">
        <f>IF(AND(E44="Y",F44="Y",G44="Y",H44="Y",I44="Y"),"Y","N")</f>
        <v/>
      </c>
    </row>
    <row r="45">
      <c r="A45">
        <f>'Catalog Master'!A45</f>
        <v/>
      </c>
      <c r="B45">
        <f>'Catalog Master'!B45</f>
        <v/>
      </c>
      <c r="C45">
        <f>'Catalog Master'!O45</f>
        <v/>
      </c>
      <c r="D45">
        <f>'Catalog Master'!F45</f>
        <v/>
      </c>
      <c r="E45">
        <f>IF('Catalog Master'!Q45&lt;&gt;"","Y","N")</f>
        <v/>
      </c>
      <c r="F45">
        <f>IF('Catalog Master'!S45&lt;&gt;"","Y","N")</f>
        <v/>
      </c>
      <c r="G45">
        <f>IF('Catalog Master'!X45&lt;&gt;"","Y","N")</f>
        <v/>
      </c>
      <c r="H45">
        <f>IF('Catalog Master'!V45&lt;&gt;"","Y","N")</f>
        <v/>
      </c>
      <c r="I45">
        <f>IF(AND('Catalog Master'!Z45&lt;&gt;"",'Catalog Master'!AA45&lt;&gt;"",'Catalog Master'!AB45&lt;&gt;""),"Y","N")</f>
        <v/>
      </c>
      <c r="J45">
        <f>'Catalog Master'!N45</f>
        <v/>
      </c>
      <c r="K45">
        <f>'Catalog Master'!AL45</f>
        <v/>
      </c>
      <c r="L45">
        <f>IF(AND(E45="Y",F45="Y",G45="Y",H45="Y",I45="Y"),"Y","N")</f>
        <v/>
      </c>
    </row>
    <row r="46">
      <c r="A46">
        <f>'Catalog Master'!A46</f>
        <v/>
      </c>
      <c r="B46">
        <f>'Catalog Master'!B46</f>
        <v/>
      </c>
      <c r="C46">
        <f>'Catalog Master'!O46</f>
        <v/>
      </c>
      <c r="D46">
        <f>'Catalog Master'!F46</f>
        <v/>
      </c>
      <c r="E46">
        <f>IF('Catalog Master'!Q46&lt;&gt;"","Y","N")</f>
        <v/>
      </c>
      <c r="F46">
        <f>IF('Catalog Master'!S46&lt;&gt;"","Y","N")</f>
        <v/>
      </c>
      <c r="G46">
        <f>IF('Catalog Master'!X46&lt;&gt;"","Y","N")</f>
        <v/>
      </c>
      <c r="H46">
        <f>IF('Catalog Master'!V46&lt;&gt;"","Y","N")</f>
        <v/>
      </c>
      <c r="I46">
        <f>IF(AND('Catalog Master'!Z46&lt;&gt;"",'Catalog Master'!AA46&lt;&gt;"",'Catalog Master'!AB46&lt;&gt;""),"Y","N")</f>
        <v/>
      </c>
      <c r="J46">
        <f>'Catalog Master'!N46</f>
        <v/>
      </c>
      <c r="K46">
        <f>'Catalog Master'!AL46</f>
        <v/>
      </c>
      <c r="L46">
        <f>IF(AND(E46="Y",F46="Y",G46="Y",H46="Y",I46="Y"),"Y","N")</f>
        <v/>
      </c>
    </row>
    <row r="47">
      <c r="A47">
        <f>'Catalog Master'!A47</f>
        <v/>
      </c>
      <c r="B47">
        <f>'Catalog Master'!B47</f>
        <v/>
      </c>
      <c r="C47">
        <f>'Catalog Master'!O47</f>
        <v/>
      </c>
      <c r="D47">
        <f>'Catalog Master'!F47</f>
        <v/>
      </c>
      <c r="E47">
        <f>IF('Catalog Master'!Q47&lt;&gt;"","Y","N")</f>
        <v/>
      </c>
      <c r="F47">
        <f>IF('Catalog Master'!S47&lt;&gt;"","Y","N")</f>
        <v/>
      </c>
      <c r="G47">
        <f>IF('Catalog Master'!X47&lt;&gt;"","Y","N")</f>
        <v/>
      </c>
      <c r="H47">
        <f>IF('Catalog Master'!V47&lt;&gt;"","Y","N")</f>
        <v/>
      </c>
      <c r="I47">
        <f>IF(AND('Catalog Master'!Z47&lt;&gt;"",'Catalog Master'!AA47&lt;&gt;"",'Catalog Master'!AB47&lt;&gt;""),"Y","N")</f>
        <v/>
      </c>
      <c r="J47">
        <f>'Catalog Master'!N47</f>
        <v/>
      </c>
      <c r="K47">
        <f>'Catalog Master'!AL47</f>
        <v/>
      </c>
      <c r="L47">
        <f>IF(AND(E47="Y",F47="Y",G47="Y",H47="Y",I47="Y"),"Y","N")</f>
        <v/>
      </c>
    </row>
    <row r="48">
      <c r="A48">
        <f>'Catalog Master'!A48</f>
        <v/>
      </c>
      <c r="B48">
        <f>'Catalog Master'!B48</f>
        <v/>
      </c>
      <c r="C48">
        <f>'Catalog Master'!O48</f>
        <v/>
      </c>
      <c r="D48">
        <f>'Catalog Master'!F48</f>
        <v/>
      </c>
      <c r="E48">
        <f>IF('Catalog Master'!Q48&lt;&gt;"","Y","N")</f>
        <v/>
      </c>
      <c r="F48">
        <f>IF('Catalog Master'!S48&lt;&gt;"","Y","N")</f>
        <v/>
      </c>
      <c r="G48">
        <f>IF('Catalog Master'!X48&lt;&gt;"","Y","N")</f>
        <v/>
      </c>
      <c r="H48">
        <f>IF('Catalog Master'!V48&lt;&gt;"","Y","N")</f>
        <v/>
      </c>
      <c r="I48">
        <f>IF(AND('Catalog Master'!Z48&lt;&gt;"",'Catalog Master'!AA48&lt;&gt;"",'Catalog Master'!AB48&lt;&gt;""),"Y","N")</f>
        <v/>
      </c>
      <c r="J48">
        <f>'Catalog Master'!N48</f>
        <v/>
      </c>
      <c r="K48">
        <f>'Catalog Master'!AL48</f>
        <v/>
      </c>
      <c r="L48">
        <f>IF(AND(E48="Y",F48="Y",G48="Y",H48="Y",I48="Y"),"Y","N")</f>
        <v/>
      </c>
    </row>
    <row r="49">
      <c r="A49">
        <f>'Catalog Master'!A49</f>
        <v/>
      </c>
      <c r="B49">
        <f>'Catalog Master'!B49</f>
        <v/>
      </c>
      <c r="C49">
        <f>'Catalog Master'!O49</f>
        <v/>
      </c>
      <c r="D49">
        <f>'Catalog Master'!F49</f>
        <v/>
      </c>
      <c r="E49">
        <f>IF('Catalog Master'!Q49&lt;&gt;"","Y","N")</f>
        <v/>
      </c>
      <c r="F49">
        <f>IF('Catalog Master'!S49&lt;&gt;"","Y","N")</f>
        <v/>
      </c>
      <c r="G49">
        <f>IF('Catalog Master'!X49&lt;&gt;"","Y","N")</f>
        <v/>
      </c>
      <c r="H49">
        <f>IF('Catalog Master'!V49&lt;&gt;"","Y","N")</f>
        <v/>
      </c>
      <c r="I49">
        <f>IF(AND('Catalog Master'!Z49&lt;&gt;"",'Catalog Master'!AA49&lt;&gt;"",'Catalog Master'!AB49&lt;&gt;""),"Y","N")</f>
        <v/>
      </c>
      <c r="J49">
        <f>'Catalog Master'!N49</f>
        <v/>
      </c>
      <c r="K49">
        <f>'Catalog Master'!AL49</f>
        <v/>
      </c>
      <c r="L49">
        <f>IF(AND(E49="Y",F49="Y",G49="Y",H49="Y",I49="Y"),"Y","N")</f>
        <v/>
      </c>
    </row>
    <row r="50">
      <c r="A50">
        <f>'Catalog Master'!A50</f>
        <v/>
      </c>
      <c r="B50">
        <f>'Catalog Master'!B50</f>
        <v/>
      </c>
      <c r="C50">
        <f>'Catalog Master'!O50</f>
        <v/>
      </c>
      <c r="D50">
        <f>'Catalog Master'!F50</f>
        <v/>
      </c>
      <c r="E50">
        <f>IF('Catalog Master'!Q50&lt;&gt;"","Y","N")</f>
        <v/>
      </c>
      <c r="F50">
        <f>IF('Catalog Master'!S50&lt;&gt;"","Y","N")</f>
        <v/>
      </c>
      <c r="G50">
        <f>IF('Catalog Master'!X50&lt;&gt;"","Y","N")</f>
        <v/>
      </c>
      <c r="H50">
        <f>IF('Catalog Master'!V50&lt;&gt;"","Y","N")</f>
        <v/>
      </c>
      <c r="I50">
        <f>IF(AND('Catalog Master'!Z50&lt;&gt;"",'Catalog Master'!AA50&lt;&gt;"",'Catalog Master'!AB50&lt;&gt;""),"Y","N")</f>
        <v/>
      </c>
      <c r="J50">
        <f>'Catalog Master'!N50</f>
        <v/>
      </c>
      <c r="K50">
        <f>'Catalog Master'!AL50</f>
        <v/>
      </c>
      <c r="L50">
        <f>IF(AND(E50="Y",F50="Y",G50="Y",H50="Y",I50="Y"),"Y","N")</f>
        <v/>
      </c>
    </row>
    <row r="51">
      <c r="A51">
        <f>'Catalog Master'!A51</f>
        <v/>
      </c>
      <c r="B51">
        <f>'Catalog Master'!B51</f>
        <v/>
      </c>
      <c r="C51">
        <f>'Catalog Master'!O51</f>
        <v/>
      </c>
      <c r="D51">
        <f>'Catalog Master'!F51</f>
        <v/>
      </c>
      <c r="E51">
        <f>IF('Catalog Master'!Q51&lt;&gt;"","Y","N")</f>
        <v/>
      </c>
      <c r="F51">
        <f>IF('Catalog Master'!S51&lt;&gt;"","Y","N")</f>
        <v/>
      </c>
      <c r="G51">
        <f>IF('Catalog Master'!X51&lt;&gt;"","Y","N")</f>
        <v/>
      </c>
      <c r="H51">
        <f>IF('Catalog Master'!V51&lt;&gt;"","Y","N")</f>
        <v/>
      </c>
      <c r="I51">
        <f>IF(AND('Catalog Master'!Z51&lt;&gt;"",'Catalog Master'!AA51&lt;&gt;"",'Catalog Master'!AB51&lt;&gt;""),"Y","N")</f>
        <v/>
      </c>
      <c r="J51">
        <f>'Catalog Master'!N51</f>
        <v/>
      </c>
      <c r="K51">
        <f>'Catalog Master'!AL51</f>
        <v/>
      </c>
      <c r="L51">
        <f>IF(AND(E51="Y",F51="Y",G51="Y",H51="Y",I51="Y"),"Y","N")</f>
        <v/>
      </c>
    </row>
    <row r="52">
      <c r="A52">
        <f>'Catalog Master'!A52</f>
        <v/>
      </c>
      <c r="B52">
        <f>'Catalog Master'!B52</f>
        <v/>
      </c>
      <c r="C52">
        <f>'Catalog Master'!O52</f>
        <v/>
      </c>
      <c r="D52">
        <f>'Catalog Master'!F52</f>
        <v/>
      </c>
      <c r="E52">
        <f>IF('Catalog Master'!Q52&lt;&gt;"","Y","N")</f>
        <v/>
      </c>
      <c r="F52">
        <f>IF('Catalog Master'!S52&lt;&gt;"","Y","N")</f>
        <v/>
      </c>
      <c r="G52">
        <f>IF('Catalog Master'!X52&lt;&gt;"","Y","N")</f>
        <v/>
      </c>
      <c r="H52">
        <f>IF('Catalog Master'!V52&lt;&gt;"","Y","N")</f>
        <v/>
      </c>
      <c r="I52">
        <f>IF(AND('Catalog Master'!Z52&lt;&gt;"",'Catalog Master'!AA52&lt;&gt;"",'Catalog Master'!AB52&lt;&gt;""),"Y","N")</f>
        <v/>
      </c>
      <c r="J52">
        <f>'Catalog Master'!N52</f>
        <v/>
      </c>
      <c r="K52">
        <f>'Catalog Master'!AL52</f>
        <v/>
      </c>
      <c r="L52">
        <f>IF(AND(E52="Y",F52="Y",G52="Y",H52="Y",I52="Y"),"Y","N")</f>
        <v/>
      </c>
    </row>
    <row r="53">
      <c r="A53">
        <f>'Catalog Master'!A53</f>
        <v/>
      </c>
      <c r="B53">
        <f>'Catalog Master'!B53</f>
        <v/>
      </c>
      <c r="C53">
        <f>'Catalog Master'!O53</f>
        <v/>
      </c>
      <c r="D53">
        <f>'Catalog Master'!F53</f>
        <v/>
      </c>
      <c r="E53">
        <f>IF('Catalog Master'!Q53&lt;&gt;"","Y","N")</f>
        <v/>
      </c>
      <c r="F53">
        <f>IF('Catalog Master'!S53&lt;&gt;"","Y","N")</f>
        <v/>
      </c>
      <c r="G53">
        <f>IF('Catalog Master'!X53&lt;&gt;"","Y","N")</f>
        <v/>
      </c>
      <c r="H53">
        <f>IF('Catalog Master'!V53&lt;&gt;"","Y","N")</f>
        <v/>
      </c>
      <c r="I53">
        <f>IF(AND('Catalog Master'!Z53&lt;&gt;"",'Catalog Master'!AA53&lt;&gt;"",'Catalog Master'!AB53&lt;&gt;""),"Y","N")</f>
        <v/>
      </c>
      <c r="J53">
        <f>'Catalog Master'!N53</f>
        <v/>
      </c>
      <c r="K53">
        <f>'Catalog Master'!AL53</f>
        <v/>
      </c>
      <c r="L53">
        <f>IF(AND(E53="Y",F53="Y",G53="Y",H53="Y",I53="Y"),"Y","N")</f>
        <v/>
      </c>
    </row>
    <row r="54">
      <c r="A54">
        <f>'Catalog Master'!A54</f>
        <v/>
      </c>
      <c r="B54">
        <f>'Catalog Master'!B54</f>
        <v/>
      </c>
      <c r="C54">
        <f>'Catalog Master'!O54</f>
        <v/>
      </c>
      <c r="D54">
        <f>'Catalog Master'!F54</f>
        <v/>
      </c>
      <c r="E54">
        <f>IF('Catalog Master'!Q54&lt;&gt;"","Y","N")</f>
        <v/>
      </c>
      <c r="F54">
        <f>IF('Catalog Master'!S54&lt;&gt;"","Y","N")</f>
        <v/>
      </c>
      <c r="G54">
        <f>IF('Catalog Master'!X54&lt;&gt;"","Y","N")</f>
        <v/>
      </c>
      <c r="H54">
        <f>IF('Catalog Master'!V54&lt;&gt;"","Y","N")</f>
        <v/>
      </c>
      <c r="I54">
        <f>IF(AND('Catalog Master'!Z54&lt;&gt;"",'Catalog Master'!AA54&lt;&gt;"",'Catalog Master'!AB54&lt;&gt;""),"Y","N")</f>
        <v/>
      </c>
      <c r="J54">
        <f>'Catalog Master'!N54</f>
        <v/>
      </c>
      <c r="K54">
        <f>'Catalog Master'!AL54</f>
        <v/>
      </c>
      <c r="L54">
        <f>IF(AND(E54="Y",F54="Y",G54="Y",H54="Y",I54="Y"),"Y","N")</f>
        <v/>
      </c>
    </row>
    <row r="55">
      <c r="A55">
        <f>'Catalog Master'!A55</f>
        <v/>
      </c>
      <c r="B55">
        <f>'Catalog Master'!B55</f>
        <v/>
      </c>
      <c r="C55">
        <f>'Catalog Master'!O55</f>
        <v/>
      </c>
      <c r="D55">
        <f>'Catalog Master'!F55</f>
        <v/>
      </c>
      <c r="E55">
        <f>IF('Catalog Master'!Q55&lt;&gt;"","Y","N")</f>
        <v/>
      </c>
      <c r="F55">
        <f>IF('Catalog Master'!S55&lt;&gt;"","Y","N")</f>
        <v/>
      </c>
      <c r="G55">
        <f>IF('Catalog Master'!X55&lt;&gt;"","Y","N")</f>
        <v/>
      </c>
      <c r="H55">
        <f>IF('Catalog Master'!V55&lt;&gt;"","Y","N")</f>
        <v/>
      </c>
      <c r="I55">
        <f>IF(AND('Catalog Master'!Z55&lt;&gt;"",'Catalog Master'!AA55&lt;&gt;"",'Catalog Master'!AB55&lt;&gt;""),"Y","N")</f>
        <v/>
      </c>
      <c r="J55">
        <f>'Catalog Master'!N55</f>
        <v/>
      </c>
      <c r="K55">
        <f>'Catalog Master'!AL55</f>
        <v/>
      </c>
      <c r="L55">
        <f>IF(AND(E55="Y",F55="Y",G55="Y",H55="Y",I55="Y"),"Y","N")</f>
        <v/>
      </c>
    </row>
    <row r="56">
      <c r="A56">
        <f>'Catalog Master'!A56</f>
        <v/>
      </c>
      <c r="B56">
        <f>'Catalog Master'!B56</f>
        <v/>
      </c>
      <c r="C56">
        <f>'Catalog Master'!O56</f>
        <v/>
      </c>
      <c r="D56">
        <f>'Catalog Master'!F56</f>
        <v/>
      </c>
      <c r="E56">
        <f>IF('Catalog Master'!Q56&lt;&gt;"","Y","N")</f>
        <v/>
      </c>
      <c r="F56">
        <f>IF('Catalog Master'!S56&lt;&gt;"","Y","N")</f>
        <v/>
      </c>
      <c r="G56">
        <f>IF('Catalog Master'!X56&lt;&gt;"","Y","N")</f>
        <v/>
      </c>
      <c r="H56">
        <f>IF('Catalog Master'!V56&lt;&gt;"","Y","N")</f>
        <v/>
      </c>
      <c r="I56">
        <f>IF(AND('Catalog Master'!Z56&lt;&gt;"",'Catalog Master'!AA56&lt;&gt;"",'Catalog Master'!AB56&lt;&gt;""),"Y","N")</f>
        <v/>
      </c>
      <c r="J56">
        <f>'Catalog Master'!N56</f>
        <v/>
      </c>
      <c r="K56">
        <f>'Catalog Master'!AL56</f>
        <v/>
      </c>
      <c r="L56">
        <f>IF(AND(E56="Y",F56="Y",G56="Y",H56="Y",I56="Y"),"Y","N")</f>
        <v/>
      </c>
    </row>
    <row r="57">
      <c r="A57">
        <f>'Catalog Master'!A57</f>
        <v/>
      </c>
      <c r="B57">
        <f>'Catalog Master'!B57</f>
        <v/>
      </c>
      <c r="C57">
        <f>'Catalog Master'!O57</f>
        <v/>
      </c>
      <c r="D57">
        <f>'Catalog Master'!F57</f>
        <v/>
      </c>
      <c r="E57">
        <f>IF('Catalog Master'!Q57&lt;&gt;"","Y","N")</f>
        <v/>
      </c>
      <c r="F57">
        <f>IF('Catalog Master'!S57&lt;&gt;"","Y","N")</f>
        <v/>
      </c>
      <c r="G57">
        <f>IF('Catalog Master'!X57&lt;&gt;"","Y","N")</f>
        <v/>
      </c>
      <c r="H57">
        <f>IF('Catalog Master'!V57&lt;&gt;"","Y","N")</f>
        <v/>
      </c>
      <c r="I57">
        <f>IF(AND('Catalog Master'!Z57&lt;&gt;"",'Catalog Master'!AA57&lt;&gt;"",'Catalog Master'!AB57&lt;&gt;""),"Y","N")</f>
        <v/>
      </c>
      <c r="J57">
        <f>'Catalog Master'!N57</f>
        <v/>
      </c>
      <c r="K57">
        <f>'Catalog Master'!AL57</f>
        <v/>
      </c>
      <c r="L57">
        <f>IF(AND(E57="Y",F57="Y",G57="Y",H57="Y",I57="Y"),"Y","N")</f>
        <v/>
      </c>
    </row>
    <row r="58">
      <c r="A58">
        <f>'Catalog Master'!A58</f>
        <v/>
      </c>
      <c r="B58">
        <f>'Catalog Master'!B58</f>
        <v/>
      </c>
      <c r="C58">
        <f>'Catalog Master'!O58</f>
        <v/>
      </c>
      <c r="D58">
        <f>'Catalog Master'!F58</f>
        <v/>
      </c>
      <c r="E58">
        <f>IF('Catalog Master'!Q58&lt;&gt;"","Y","N")</f>
        <v/>
      </c>
      <c r="F58">
        <f>IF('Catalog Master'!S58&lt;&gt;"","Y","N")</f>
        <v/>
      </c>
      <c r="G58">
        <f>IF('Catalog Master'!X58&lt;&gt;"","Y","N")</f>
        <v/>
      </c>
      <c r="H58">
        <f>IF('Catalog Master'!V58&lt;&gt;"","Y","N")</f>
        <v/>
      </c>
      <c r="I58">
        <f>IF(AND('Catalog Master'!Z58&lt;&gt;"",'Catalog Master'!AA58&lt;&gt;"",'Catalog Master'!AB58&lt;&gt;""),"Y","N")</f>
        <v/>
      </c>
      <c r="J58">
        <f>'Catalog Master'!N58</f>
        <v/>
      </c>
      <c r="K58">
        <f>'Catalog Master'!AL58</f>
        <v/>
      </c>
      <c r="L58">
        <f>IF(AND(E58="Y",F58="Y",G58="Y",H58="Y",I58="Y"),"Y","N")</f>
        <v/>
      </c>
    </row>
    <row r="59">
      <c r="A59">
        <f>'Catalog Master'!A59</f>
        <v/>
      </c>
      <c r="B59">
        <f>'Catalog Master'!B59</f>
        <v/>
      </c>
      <c r="C59">
        <f>'Catalog Master'!O59</f>
        <v/>
      </c>
      <c r="D59">
        <f>'Catalog Master'!F59</f>
        <v/>
      </c>
      <c r="E59">
        <f>IF('Catalog Master'!Q59&lt;&gt;"","Y","N")</f>
        <v/>
      </c>
      <c r="F59">
        <f>IF('Catalog Master'!S59&lt;&gt;"","Y","N")</f>
        <v/>
      </c>
      <c r="G59">
        <f>IF('Catalog Master'!X59&lt;&gt;"","Y","N")</f>
        <v/>
      </c>
      <c r="H59">
        <f>IF('Catalog Master'!V59&lt;&gt;"","Y","N")</f>
        <v/>
      </c>
      <c r="I59">
        <f>IF(AND('Catalog Master'!Z59&lt;&gt;"",'Catalog Master'!AA59&lt;&gt;"",'Catalog Master'!AB59&lt;&gt;""),"Y","N")</f>
        <v/>
      </c>
      <c r="J59">
        <f>'Catalog Master'!N59</f>
        <v/>
      </c>
      <c r="K59">
        <f>'Catalog Master'!AL59</f>
        <v/>
      </c>
      <c r="L59">
        <f>IF(AND(E59="Y",F59="Y",G59="Y",H59="Y",I59="Y"),"Y","N")</f>
        <v/>
      </c>
    </row>
    <row r="60">
      <c r="A60">
        <f>'Catalog Master'!A60</f>
        <v/>
      </c>
      <c r="B60">
        <f>'Catalog Master'!B60</f>
        <v/>
      </c>
      <c r="C60">
        <f>'Catalog Master'!O60</f>
        <v/>
      </c>
      <c r="D60">
        <f>'Catalog Master'!F60</f>
        <v/>
      </c>
      <c r="E60">
        <f>IF('Catalog Master'!Q60&lt;&gt;"","Y","N")</f>
        <v/>
      </c>
      <c r="F60">
        <f>IF('Catalog Master'!S60&lt;&gt;"","Y","N")</f>
        <v/>
      </c>
      <c r="G60">
        <f>IF('Catalog Master'!X60&lt;&gt;"","Y","N")</f>
        <v/>
      </c>
      <c r="H60">
        <f>IF('Catalog Master'!V60&lt;&gt;"","Y","N")</f>
        <v/>
      </c>
      <c r="I60">
        <f>IF(AND('Catalog Master'!Z60&lt;&gt;"",'Catalog Master'!AA60&lt;&gt;"",'Catalog Master'!AB60&lt;&gt;""),"Y","N")</f>
        <v/>
      </c>
      <c r="J60">
        <f>'Catalog Master'!N60</f>
        <v/>
      </c>
      <c r="K60">
        <f>'Catalog Master'!AL60</f>
        <v/>
      </c>
      <c r="L60">
        <f>IF(AND(E60="Y",F60="Y",G60="Y",H60="Y",I60="Y"),"Y","N")</f>
        <v/>
      </c>
    </row>
    <row r="61">
      <c r="A61">
        <f>'Catalog Master'!A61</f>
        <v/>
      </c>
      <c r="B61">
        <f>'Catalog Master'!B61</f>
        <v/>
      </c>
      <c r="C61">
        <f>'Catalog Master'!O61</f>
        <v/>
      </c>
      <c r="D61">
        <f>'Catalog Master'!F61</f>
        <v/>
      </c>
      <c r="E61">
        <f>IF('Catalog Master'!Q61&lt;&gt;"","Y","N")</f>
        <v/>
      </c>
      <c r="F61">
        <f>IF('Catalog Master'!S61&lt;&gt;"","Y","N")</f>
        <v/>
      </c>
      <c r="G61">
        <f>IF('Catalog Master'!X61&lt;&gt;"","Y","N")</f>
        <v/>
      </c>
      <c r="H61">
        <f>IF('Catalog Master'!V61&lt;&gt;"","Y","N")</f>
        <v/>
      </c>
      <c r="I61">
        <f>IF(AND('Catalog Master'!Z61&lt;&gt;"",'Catalog Master'!AA61&lt;&gt;"",'Catalog Master'!AB61&lt;&gt;""),"Y","N")</f>
        <v/>
      </c>
      <c r="J61">
        <f>'Catalog Master'!N61</f>
        <v/>
      </c>
      <c r="K61">
        <f>'Catalog Master'!AL61</f>
        <v/>
      </c>
      <c r="L61">
        <f>IF(AND(E61="Y",F61="Y",G61="Y",H61="Y",I61="Y"),"Y","N")</f>
        <v/>
      </c>
    </row>
    <row r="62">
      <c r="A62">
        <f>'Catalog Master'!A62</f>
        <v/>
      </c>
      <c r="B62">
        <f>'Catalog Master'!B62</f>
        <v/>
      </c>
      <c r="C62">
        <f>'Catalog Master'!O62</f>
        <v/>
      </c>
      <c r="D62">
        <f>'Catalog Master'!F62</f>
        <v/>
      </c>
      <c r="E62">
        <f>IF('Catalog Master'!Q62&lt;&gt;"","Y","N")</f>
        <v/>
      </c>
      <c r="F62">
        <f>IF('Catalog Master'!S62&lt;&gt;"","Y","N")</f>
        <v/>
      </c>
      <c r="G62">
        <f>IF('Catalog Master'!X62&lt;&gt;"","Y","N")</f>
        <v/>
      </c>
      <c r="H62">
        <f>IF('Catalog Master'!V62&lt;&gt;"","Y","N")</f>
        <v/>
      </c>
      <c r="I62">
        <f>IF(AND('Catalog Master'!Z62&lt;&gt;"",'Catalog Master'!AA62&lt;&gt;"",'Catalog Master'!AB62&lt;&gt;""),"Y","N")</f>
        <v/>
      </c>
      <c r="J62">
        <f>'Catalog Master'!N62</f>
        <v/>
      </c>
      <c r="K62">
        <f>'Catalog Master'!AL62</f>
        <v/>
      </c>
      <c r="L62">
        <f>IF(AND(E62="Y",F62="Y",G62="Y",H62="Y",I62="Y"),"Y","N")</f>
        <v/>
      </c>
    </row>
    <row r="63">
      <c r="A63">
        <f>'Catalog Master'!A63</f>
        <v/>
      </c>
      <c r="B63">
        <f>'Catalog Master'!B63</f>
        <v/>
      </c>
      <c r="C63">
        <f>'Catalog Master'!O63</f>
        <v/>
      </c>
      <c r="D63">
        <f>'Catalog Master'!F63</f>
        <v/>
      </c>
      <c r="E63">
        <f>IF('Catalog Master'!Q63&lt;&gt;"","Y","N")</f>
        <v/>
      </c>
      <c r="F63">
        <f>IF('Catalog Master'!S63&lt;&gt;"","Y","N")</f>
        <v/>
      </c>
      <c r="G63">
        <f>IF('Catalog Master'!X63&lt;&gt;"","Y","N")</f>
        <v/>
      </c>
      <c r="H63">
        <f>IF('Catalog Master'!V63&lt;&gt;"","Y","N")</f>
        <v/>
      </c>
      <c r="I63">
        <f>IF(AND('Catalog Master'!Z63&lt;&gt;"",'Catalog Master'!AA63&lt;&gt;"",'Catalog Master'!AB63&lt;&gt;""),"Y","N")</f>
        <v/>
      </c>
      <c r="J63">
        <f>'Catalog Master'!N63</f>
        <v/>
      </c>
      <c r="K63">
        <f>'Catalog Master'!AL63</f>
        <v/>
      </c>
      <c r="L63">
        <f>IF(AND(E63="Y",F63="Y",G63="Y",H63="Y",I63="Y"),"Y","N")</f>
        <v/>
      </c>
    </row>
    <row r="64">
      <c r="A64">
        <f>'Catalog Master'!A64</f>
        <v/>
      </c>
      <c r="B64">
        <f>'Catalog Master'!B64</f>
        <v/>
      </c>
      <c r="C64">
        <f>'Catalog Master'!O64</f>
        <v/>
      </c>
      <c r="D64">
        <f>'Catalog Master'!F64</f>
        <v/>
      </c>
      <c r="E64">
        <f>IF('Catalog Master'!Q64&lt;&gt;"","Y","N")</f>
        <v/>
      </c>
      <c r="F64">
        <f>IF('Catalog Master'!S64&lt;&gt;"","Y","N")</f>
        <v/>
      </c>
      <c r="G64">
        <f>IF('Catalog Master'!X64&lt;&gt;"","Y","N")</f>
        <v/>
      </c>
      <c r="H64">
        <f>IF('Catalog Master'!V64&lt;&gt;"","Y","N")</f>
        <v/>
      </c>
      <c r="I64">
        <f>IF(AND('Catalog Master'!Z64&lt;&gt;"",'Catalog Master'!AA64&lt;&gt;"",'Catalog Master'!AB64&lt;&gt;""),"Y","N")</f>
        <v/>
      </c>
      <c r="J64">
        <f>'Catalog Master'!N64</f>
        <v/>
      </c>
      <c r="K64">
        <f>'Catalog Master'!AL64</f>
        <v/>
      </c>
      <c r="L64">
        <f>IF(AND(E64="Y",F64="Y",G64="Y",H64="Y",I64="Y"),"Y","N")</f>
        <v/>
      </c>
    </row>
    <row r="65">
      <c r="A65">
        <f>'Catalog Master'!A65</f>
        <v/>
      </c>
      <c r="B65">
        <f>'Catalog Master'!B65</f>
        <v/>
      </c>
      <c r="C65">
        <f>'Catalog Master'!O65</f>
        <v/>
      </c>
      <c r="D65">
        <f>'Catalog Master'!F65</f>
        <v/>
      </c>
      <c r="E65">
        <f>IF('Catalog Master'!Q65&lt;&gt;"","Y","N")</f>
        <v/>
      </c>
      <c r="F65">
        <f>IF('Catalog Master'!S65&lt;&gt;"","Y","N")</f>
        <v/>
      </c>
      <c r="G65">
        <f>IF('Catalog Master'!X65&lt;&gt;"","Y","N")</f>
        <v/>
      </c>
      <c r="H65">
        <f>IF('Catalog Master'!V65&lt;&gt;"","Y","N")</f>
        <v/>
      </c>
      <c r="I65">
        <f>IF(AND('Catalog Master'!Z65&lt;&gt;"",'Catalog Master'!AA65&lt;&gt;"",'Catalog Master'!AB65&lt;&gt;""),"Y","N")</f>
        <v/>
      </c>
      <c r="J65">
        <f>'Catalog Master'!N65</f>
        <v/>
      </c>
      <c r="K65">
        <f>'Catalog Master'!AL65</f>
        <v/>
      </c>
      <c r="L65">
        <f>IF(AND(E65="Y",F65="Y",G65="Y",H65="Y",I65="Y"),"Y","N")</f>
        <v/>
      </c>
    </row>
    <row r="66">
      <c r="A66">
        <f>'Catalog Master'!A66</f>
        <v/>
      </c>
      <c r="B66">
        <f>'Catalog Master'!B66</f>
        <v/>
      </c>
      <c r="C66">
        <f>'Catalog Master'!O66</f>
        <v/>
      </c>
      <c r="D66">
        <f>'Catalog Master'!F66</f>
        <v/>
      </c>
      <c r="E66">
        <f>IF('Catalog Master'!Q66&lt;&gt;"","Y","N")</f>
        <v/>
      </c>
      <c r="F66">
        <f>IF('Catalog Master'!S66&lt;&gt;"","Y","N")</f>
        <v/>
      </c>
      <c r="G66">
        <f>IF('Catalog Master'!X66&lt;&gt;"","Y","N")</f>
        <v/>
      </c>
      <c r="H66">
        <f>IF('Catalog Master'!V66&lt;&gt;"","Y","N")</f>
        <v/>
      </c>
      <c r="I66">
        <f>IF(AND('Catalog Master'!Z66&lt;&gt;"",'Catalog Master'!AA66&lt;&gt;"",'Catalog Master'!AB66&lt;&gt;""),"Y","N")</f>
        <v/>
      </c>
      <c r="J66">
        <f>'Catalog Master'!N66</f>
        <v/>
      </c>
      <c r="K66">
        <f>'Catalog Master'!AL66</f>
        <v/>
      </c>
      <c r="L66">
        <f>IF(AND(E66="Y",F66="Y",G66="Y",H66="Y",I66="Y"),"Y","N")</f>
        <v/>
      </c>
    </row>
    <row r="67">
      <c r="A67">
        <f>'Catalog Master'!A67</f>
        <v/>
      </c>
      <c r="B67">
        <f>'Catalog Master'!B67</f>
        <v/>
      </c>
      <c r="C67">
        <f>'Catalog Master'!O67</f>
        <v/>
      </c>
      <c r="D67">
        <f>'Catalog Master'!F67</f>
        <v/>
      </c>
      <c r="E67">
        <f>IF('Catalog Master'!Q67&lt;&gt;"","Y","N")</f>
        <v/>
      </c>
      <c r="F67">
        <f>IF('Catalog Master'!S67&lt;&gt;"","Y","N")</f>
        <v/>
      </c>
      <c r="G67">
        <f>IF('Catalog Master'!X67&lt;&gt;"","Y","N")</f>
        <v/>
      </c>
      <c r="H67">
        <f>IF('Catalog Master'!V67&lt;&gt;"","Y","N")</f>
        <v/>
      </c>
      <c r="I67">
        <f>IF(AND('Catalog Master'!Z67&lt;&gt;"",'Catalog Master'!AA67&lt;&gt;"",'Catalog Master'!AB67&lt;&gt;""),"Y","N")</f>
        <v/>
      </c>
      <c r="J67">
        <f>'Catalog Master'!N67</f>
        <v/>
      </c>
      <c r="K67">
        <f>'Catalog Master'!AL67</f>
        <v/>
      </c>
      <c r="L67">
        <f>IF(AND(E67="Y",F67="Y",G67="Y",H67="Y",I67="Y"),"Y","N")</f>
        <v/>
      </c>
    </row>
    <row r="68">
      <c r="A68">
        <f>'Catalog Master'!A68</f>
        <v/>
      </c>
      <c r="B68">
        <f>'Catalog Master'!B68</f>
        <v/>
      </c>
      <c r="C68">
        <f>'Catalog Master'!O68</f>
        <v/>
      </c>
      <c r="D68">
        <f>'Catalog Master'!F68</f>
        <v/>
      </c>
      <c r="E68">
        <f>IF('Catalog Master'!Q68&lt;&gt;"","Y","N")</f>
        <v/>
      </c>
      <c r="F68">
        <f>IF('Catalog Master'!S68&lt;&gt;"","Y","N")</f>
        <v/>
      </c>
      <c r="G68">
        <f>IF('Catalog Master'!X68&lt;&gt;"","Y","N")</f>
        <v/>
      </c>
      <c r="H68">
        <f>IF('Catalog Master'!V68&lt;&gt;"","Y","N")</f>
        <v/>
      </c>
      <c r="I68">
        <f>IF(AND('Catalog Master'!Z68&lt;&gt;"",'Catalog Master'!AA68&lt;&gt;"",'Catalog Master'!AB68&lt;&gt;""),"Y","N")</f>
        <v/>
      </c>
      <c r="J68">
        <f>'Catalog Master'!N68</f>
        <v/>
      </c>
      <c r="K68">
        <f>'Catalog Master'!AL68</f>
        <v/>
      </c>
      <c r="L68">
        <f>IF(AND(E68="Y",F68="Y",G68="Y",H68="Y",I68="Y"),"Y","N")</f>
        <v/>
      </c>
    </row>
    <row r="69">
      <c r="A69">
        <f>'Catalog Master'!A69</f>
        <v/>
      </c>
      <c r="B69">
        <f>'Catalog Master'!B69</f>
        <v/>
      </c>
      <c r="C69">
        <f>'Catalog Master'!O69</f>
        <v/>
      </c>
      <c r="D69">
        <f>'Catalog Master'!F69</f>
        <v/>
      </c>
      <c r="E69">
        <f>IF('Catalog Master'!Q69&lt;&gt;"","Y","N")</f>
        <v/>
      </c>
      <c r="F69">
        <f>IF('Catalog Master'!S69&lt;&gt;"","Y","N")</f>
        <v/>
      </c>
      <c r="G69">
        <f>IF('Catalog Master'!X69&lt;&gt;"","Y","N")</f>
        <v/>
      </c>
      <c r="H69">
        <f>IF('Catalog Master'!V69&lt;&gt;"","Y","N")</f>
        <v/>
      </c>
      <c r="I69">
        <f>IF(AND('Catalog Master'!Z69&lt;&gt;"",'Catalog Master'!AA69&lt;&gt;"",'Catalog Master'!AB69&lt;&gt;""),"Y","N")</f>
        <v/>
      </c>
      <c r="J69">
        <f>'Catalog Master'!N69</f>
        <v/>
      </c>
      <c r="K69">
        <f>'Catalog Master'!AL69</f>
        <v/>
      </c>
      <c r="L69">
        <f>IF(AND(E69="Y",F69="Y",G69="Y",H69="Y",I69="Y"),"Y","N")</f>
        <v/>
      </c>
    </row>
    <row r="70">
      <c r="A70">
        <f>'Catalog Master'!A70</f>
        <v/>
      </c>
      <c r="B70">
        <f>'Catalog Master'!B70</f>
        <v/>
      </c>
      <c r="C70">
        <f>'Catalog Master'!O70</f>
        <v/>
      </c>
      <c r="D70">
        <f>'Catalog Master'!F70</f>
        <v/>
      </c>
      <c r="E70">
        <f>IF('Catalog Master'!Q70&lt;&gt;"","Y","N")</f>
        <v/>
      </c>
      <c r="F70">
        <f>IF('Catalog Master'!S70&lt;&gt;"","Y","N")</f>
        <v/>
      </c>
      <c r="G70">
        <f>IF('Catalog Master'!X70&lt;&gt;"","Y","N")</f>
        <v/>
      </c>
      <c r="H70">
        <f>IF('Catalog Master'!V70&lt;&gt;"","Y","N")</f>
        <v/>
      </c>
      <c r="I70">
        <f>IF(AND('Catalog Master'!Z70&lt;&gt;"",'Catalog Master'!AA70&lt;&gt;"",'Catalog Master'!AB70&lt;&gt;""),"Y","N")</f>
        <v/>
      </c>
      <c r="J70">
        <f>'Catalog Master'!N70</f>
        <v/>
      </c>
      <c r="K70">
        <f>'Catalog Master'!AL70</f>
        <v/>
      </c>
      <c r="L70">
        <f>IF(AND(E70="Y",F70="Y",G70="Y",H70="Y",I70="Y"),"Y","N")</f>
        <v/>
      </c>
    </row>
    <row r="71">
      <c r="A71">
        <f>'Catalog Master'!A71</f>
        <v/>
      </c>
      <c r="B71">
        <f>'Catalog Master'!B71</f>
        <v/>
      </c>
      <c r="C71">
        <f>'Catalog Master'!O71</f>
        <v/>
      </c>
      <c r="D71">
        <f>'Catalog Master'!F71</f>
        <v/>
      </c>
      <c r="E71">
        <f>IF('Catalog Master'!Q71&lt;&gt;"","Y","N")</f>
        <v/>
      </c>
      <c r="F71">
        <f>IF('Catalog Master'!S71&lt;&gt;"","Y","N")</f>
        <v/>
      </c>
      <c r="G71">
        <f>IF('Catalog Master'!X71&lt;&gt;"","Y","N")</f>
        <v/>
      </c>
      <c r="H71">
        <f>IF('Catalog Master'!V71&lt;&gt;"","Y","N")</f>
        <v/>
      </c>
      <c r="I71">
        <f>IF(AND('Catalog Master'!Z71&lt;&gt;"",'Catalog Master'!AA71&lt;&gt;"",'Catalog Master'!AB71&lt;&gt;""),"Y","N")</f>
        <v/>
      </c>
      <c r="J71">
        <f>'Catalog Master'!N71</f>
        <v/>
      </c>
      <c r="K71">
        <f>'Catalog Master'!AL71</f>
        <v/>
      </c>
      <c r="L71">
        <f>IF(AND(E71="Y",F71="Y",G71="Y",H71="Y",I71="Y"),"Y","N")</f>
        <v/>
      </c>
    </row>
    <row r="72">
      <c r="A72">
        <f>'Catalog Master'!A72</f>
        <v/>
      </c>
      <c r="B72">
        <f>'Catalog Master'!B72</f>
        <v/>
      </c>
      <c r="C72">
        <f>'Catalog Master'!O72</f>
        <v/>
      </c>
      <c r="D72">
        <f>'Catalog Master'!F72</f>
        <v/>
      </c>
      <c r="E72">
        <f>IF('Catalog Master'!Q72&lt;&gt;"","Y","N")</f>
        <v/>
      </c>
      <c r="F72">
        <f>IF('Catalog Master'!S72&lt;&gt;"","Y","N")</f>
        <v/>
      </c>
      <c r="G72">
        <f>IF('Catalog Master'!X72&lt;&gt;"","Y","N")</f>
        <v/>
      </c>
      <c r="H72">
        <f>IF('Catalog Master'!V72&lt;&gt;"","Y","N")</f>
        <v/>
      </c>
      <c r="I72">
        <f>IF(AND('Catalog Master'!Z72&lt;&gt;"",'Catalog Master'!AA72&lt;&gt;"",'Catalog Master'!AB72&lt;&gt;""),"Y","N")</f>
        <v/>
      </c>
      <c r="J72">
        <f>'Catalog Master'!N72</f>
        <v/>
      </c>
      <c r="K72">
        <f>'Catalog Master'!AL72</f>
        <v/>
      </c>
      <c r="L72">
        <f>IF(AND(E72="Y",F72="Y",G72="Y",H72="Y",I72="Y"),"Y","N")</f>
        <v/>
      </c>
    </row>
    <row r="73">
      <c r="A73">
        <f>'Catalog Master'!A73</f>
        <v/>
      </c>
      <c r="B73">
        <f>'Catalog Master'!B73</f>
        <v/>
      </c>
      <c r="C73">
        <f>'Catalog Master'!O73</f>
        <v/>
      </c>
      <c r="D73">
        <f>'Catalog Master'!F73</f>
        <v/>
      </c>
      <c r="E73">
        <f>IF('Catalog Master'!Q73&lt;&gt;"","Y","N")</f>
        <v/>
      </c>
      <c r="F73">
        <f>IF('Catalog Master'!S73&lt;&gt;"","Y","N")</f>
        <v/>
      </c>
      <c r="G73">
        <f>IF('Catalog Master'!X73&lt;&gt;"","Y","N")</f>
        <v/>
      </c>
      <c r="H73">
        <f>IF('Catalog Master'!V73&lt;&gt;"","Y","N")</f>
        <v/>
      </c>
      <c r="I73">
        <f>IF(AND('Catalog Master'!Z73&lt;&gt;"",'Catalog Master'!AA73&lt;&gt;"",'Catalog Master'!AB73&lt;&gt;""),"Y","N")</f>
        <v/>
      </c>
      <c r="J73">
        <f>'Catalog Master'!N73</f>
        <v/>
      </c>
      <c r="K73">
        <f>'Catalog Master'!AL73</f>
        <v/>
      </c>
      <c r="L73">
        <f>IF(AND(E73="Y",F73="Y",G73="Y",H73="Y",I73="Y"),"Y","N")</f>
        <v/>
      </c>
    </row>
    <row r="74">
      <c r="A74">
        <f>'Catalog Master'!A74</f>
        <v/>
      </c>
      <c r="B74">
        <f>'Catalog Master'!B74</f>
        <v/>
      </c>
      <c r="C74">
        <f>'Catalog Master'!O74</f>
        <v/>
      </c>
      <c r="D74">
        <f>'Catalog Master'!F74</f>
        <v/>
      </c>
      <c r="E74">
        <f>IF('Catalog Master'!Q74&lt;&gt;"","Y","N")</f>
        <v/>
      </c>
      <c r="F74">
        <f>IF('Catalog Master'!S74&lt;&gt;"","Y","N")</f>
        <v/>
      </c>
      <c r="G74">
        <f>IF('Catalog Master'!X74&lt;&gt;"","Y","N")</f>
        <v/>
      </c>
      <c r="H74">
        <f>IF('Catalog Master'!V74&lt;&gt;"","Y","N")</f>
        <v/>
      </c>
      <c r="I74">
        <f>IF(AND('Catalog Master'!Z74&lt;&gt;"",'Catalog Master'!AA74&lt;&gt;"",'Catalog Master'!AB74&lt;&gt;""),"Y","N")</f>
        <v/>
      </c>
      <c r="J74">
        <f>'Catalog Master'!N74</f>
        <v/>
      </c>
      <c r="K74">
        <f>'Catalog Master'!AL74</f>
        <v/>
      </c>
      <c r="L74">
        <f>IF(AND(E74="Y",F74="Y",G74="Y",H74="Y",I74="Y"),"Y","N")</f>
        <v/>
      </c>
    </row>
    <row r="75">
      <c r="A75">
        <f>'Catalog Master'!A75</f>
        <v/>
      </c>
      <c r="B75">
        <f>'Catalog Master'!B75</f>
        <v/>
      </c>
      <c r="C75">
        <f>'Catalog Master'!O75</f>
        <v/>
      </c>
      <c r="D75">
        <f>'Catalog Master'!F75</f>
        <v/>
      </c>
      <c r="E75">
        <f>IF('Catalog Master'!Q75&lt;&gt;"","Y","N")</f>
        <v/>
      </c>
      <c r="F75">
        <f>IF('Catalog Master'!S75&lt;&gt;"","Y","N")</f>
        <v/>
      </c>
      <c r="G75">
        <f>IF('Catalog Master'!X75&lt;&gt;"","Y","N")</f>
        <v/>
      </c>
      <c r="H75">
        <f>IF('Catalog Master'!V75&lt;&gt;"","Y","N")</f>
        <v/>
      </c>
      <c r="I75">
        <f>IF(AND('Catalog Master'!Z75&lt;&gt;"",'Catalog Master'!AA75&lt;&gt;"",'Catalog Master'!AB75&lt;&gt;""),"Y","N")</f>
        <v/>
      </c>
      <c r="J75">
        <f>'Catalog Master'!N75</f>
        <v/>
      </c>
      <c r="K75">
        <f>'Catalog Master'!AL75</f>
        <v/>
      </c>
      <c r="L75">
        <f>IF(AND(E75="Y",F75="Y",G75="Y",H75="Y",I75="Y"),"Y","N")</f>
        <v/>
      </c>
    </row>
    <row r="76">
      <c r="A76">
        <f>'Catalog Master'!A76</f>
        <v/>
      </c>
      <c r="B76">
        <f>'Catalog Master'!B76</f>
        <v/>
      </c>
      <c r="C76">
        <f>'Catalog Master'!O76</f>
        <v/>
      </c>
      <c r="D76">
        <f>'Catalog Master'!F76</f>
        <v/>
      </c>
      <c r="E76">
        <f>IF('Catalog Master'!Q76&lt;&gt;"","Y","N")</f>
        <v/>
      </c>
      <c r="F76">
        <f>IF('Catalog Master'!S76&lt;&gt;"","Y","N")</f>
        <v/>
      </c>
      <c r="G76">
        <f>IF('Catalog Master'!X76&lt;&gt;"","Y","N")</f>
        <v/>
      </c>
      <c r="H76">
        <f>IF('Catalog Master'!V76&lt;&gt;"","Y","N")</f>
        <v/>
      </c>
      <c r="I76">
        <f>IF(AND('Catalog Master'!Z76&lt;&gt;"",'Catalog Master'!AA76&lt;&gt;"",'Catalog Master'!AB76&lt;&gt;""),"Y","N")</f>
        <v/>
      </c>
      <c r="J76">
        <f>'Catalog Master'!N76</f>
        <v/>
      </c>
      <c r="K76">
        <f>'Catalog Master'!AL76</f>
        <v/>
      </c>
      <c r="L76">
        <f>IF(AND(E76="Y",F76="Y",G76="Y",H76="Y",I76="Y"),"Y","N")</f>
        <v/>
      </c>
    </row>
    <row r="77">
      <c r="A77">
        <f>'Catalog Master'!A77</f>
        <v/>
      </c>
      <c r="B77">
        <f>'Catalog Master'!B77</f>
        <v/>
      </c>
      <c r="C77">
        <f>'Catalog Master'!O77</f>
        <v/>
      </c>
      <c r="D77">
        <f>'Catalog Master'!F77</f>
        <v/>
      </c>
      <c r="E77">
        <f>IF('Catalog Master'!Q77&lt;&gt;"","Y","N")</f>
        <v/>
      </c>
      <c r="F77">
        <f>IF('Catalog Master'!S77&lt;&gt;"","Y","N")</f>
        <v/>
      </c>
      <c r="G77">
        <f>IF('Catalog Master'!X77&lt;&gt;"","Y","N")</f>
        <v/>
      </c>
      <c r="H77">
        <f>IF('Catalog Master'!V77&lt;&gt;"","Y","N")</f>
        <v/>
      </c>
      <c r="I77">
        <f>IF(AND('Catalog Master'!Z77&lt;&gt;"",'Catalog Master'!AA77&lt;&gt;"",'Catalog Master'!AB77&lt;&gt;""),"Y","N")</f>
        <v/>
      </c>
      <c r="J77">
        <f>'Catalog Master'!N77</f>
        <v/>
      </c>
      <c r="K77">
        <f>'Catalog Master'!AL77</f>
        <v/>
      </c>
      <c r="L77">
        <f>IF(AND(E77="Y",F77="Y",G77="Y",H77="Y",I77="Y"),"Y","N")</f>
        <v/>
      </c>
    </row>
    <row r="78">
      <c r="A78">
        <f>'Catalog Master'!A78</f>
        <v/>
      </c>
      <c r="B78">
        <f>'Catalog Master'!B78</f>
        <v/>
      </c>
      <c r="C78">
        <f>'Catalog Master'!O78</f>
        <v/>
      </c>
      <c r="D78">
        <f>'Catalog Master'!F78</f>
        <v/>
      </c>
      <c r="E78">
        <f>IF('Catalog Master'!Q78&lt;&gt;"","Y","N")</f>
        <v/>
      </c>
      <c r="F78">
        <f>IF('Catalog Master'!S78&lt;&gt;"","Y","N")</f>
        <v/>
      </c>
      <c r="G78">
        <f>IF('Catalog Master'!X78&lt;&gt;"","Y","N")</f>
        <v/>
      </c>
      <c r="H78">
        <f>IF('Catalog Master'!V78&lt;&gt;"","Y","N")</f>
        <v/>
      </c>
      <c r="I78">
        <f>IF(AND('Catalog Master'!Z78&lt;&gt;"",'Catalog Master'!AA78&lt;&gt;"",'Catalog Master'!AB78&lt;&gt;""),"Y","N")</f>
        <v/>
      </c>
      <c r="J78">
        <f>'Catalog Master'!N78</f>
        <v/>
      </c>
      <c r="K78">
        <f>'Catalog Master'!AL78</f>
        <v/>
      </c>
      <c r="L78">
        <f>IF(AND(E78="Y",F78="Y",G78="Y",H78="Y",I78="Y"),"Y","N")</f>
        <v/>
      </c>
    </row>
    <row r="79">
      <c r="A79">
        <f>'Catalog Master'!A79</f>
        <v/>
      </c>
      <c r="B79">
        <f>'Catalog Master'!B79</f>
        <v/>
      </c>
      <c r="C79">
        <f>'Catalog Master'!O79</f>
        <v/>
      </c>
      <c r="D79">
        <f>'Catalog Master'!F79</f>
        <v/>
      </c>
      <c r="E79">
        <f>IF('Catalog Master'!Q79&lt;&gt;"","Y","N")</f>
        <v/>
      </c>
      <c r="F79">
        <f>IF('Catalog Master'!S79&lt;&gt;"","Y","N")</f>
        <v/>
      </c>
      <c r="G79">
        <f>IF('Catalog Master'!X79&lt;&gt;"","Y","N")</f>
        <v/>
      </c>
      <c r="H79">
        <f>IF('Catalog Master'!V79&lt;&gt;"","Y","N")</f>
        <v/>
      </c>
      <c r="I79">
        <f>IF(AND('Catalog Master'!Z79&lt;&gt;"",'Catalog Master'!AA79&lt;&gt;"",'Catalog Master'!AB79&lt;&gt;""),"Y","N")</f>
        <v/>
      </c>
      <c r="J79">
        <f>'Catalog Master'!N79</f>
        <v/>
      </c>
      <c r="K79">
        <f>'Catalog Master'!AL79</f>
        <v/>
      </c>
      <c r="L79">
        <f>IF(AND(E79="Y",F79="Y",G79="Y",H79="Y",I79="Y"),"Y","N")</f>
        <v/>
      </c>
    </row>
    <row r="80">
      <c r="A80">
        <f>'Catalog Master'!A80</f>
        <v/>
      </c>
      <c r="B80">
        <f>'Catalog Master'!B80</f>
        <v/>
      </c>
      <c r="C80">
        <f>'Catalog Master'!O80</f>
        <v/>
      </c>
      <c r="D80">
        <f>'Catalog Master'!F80</f>
        <v/>
      </c>
      <c r="E80">
        <f>IF('Catalog Master'!Q80&lt;&gt;"","Y","N")</f>
        <v/>
      </c>
      <c r="F80">
        <f>IF('Catalog Master'!S80&lt;&gt;"","Y","N")</f>
        <v/>
      </c>
      <c r="G80">
        <f>IF('Catalog Master'!X80&lt;&gt;"","Y","N")</f>
        <v/>
      </c>
      <c r="H80">
        <f>IF('Catalog Master'!V80&lt;&gt;"","Y","N")</f>
        <v/>
      </c>
      <c r="I80">
        <f>IF(AND('Catalog Master'!Z80&lt;&gt;"",'Catalog Master'!AA80&lt;&gt;"",'Catalog Master'!AB80&lt;&gt;""),"Y","N")</f>
        <v/>
      </c>
      <c r="J80">
        <f>'Catalog Master'!N80</f>
        <v/>
      </c>
      <c r="K80">
        <f>'Catalog Master'!AL80</f>
        <v/>
      </c>
      <c r="L80">
        <f>IF(AND(E80="Y",F80="Y",G80="Y",H80="Y",I80="Y"),"Y","N")</f>
        <v/>
      </c>
    </row>
    <row r="81">
      <c r="A81">
        <f>'Catalog Master'!A81</f>
        <v/>
      </c>
      <c r="B81">
        <f>'Catalog Master'!B81</f>
        <v/>
      </c>
      <c r="C81">
        <f>'Catalog Master'!O81</f>
        <v/>
      </c>
      <c r="D81">
        <f>'Catalog Master'!F81</f>
        <v/>
      </c>
      <c r="E81">
        <f>IF('Catalog Master'!Q81&lt;&gt;"","Y","N")</f>
        <v/>
      </c>
      <c r="F81">
        <f>IF('Catalog Master'!S81&lt;&gt;"","Y","N")</f>
        <v/>
      </c>
      <c r="G81">
        <f>IF('Catalog Master'!X81&lt;&gt;"","Y","N")</f>
        <v/>
      </c>
      <c r="H81">
        <f>IF('Catalog Master'!V81&lt;&gt;"","Y","N")</f>
        <v/>
      </c>
      <c r="I81">
        <f>IF(AND('Catalog Master'!Z81&lt;&gt;"",'Catalog Master'!AA81&lt;&gt;"",'Catalog Master'!AB81&lt;&gt;""),"Y","N")</f>
        <v/>
      </c>
      <c r="J81">
        <f>'Catalog Master'!N81</f>
        <v/>
      </c>
      <c r="K81">
        <f>'Catalog Master'!AL81</f>
        <v/>
      </c>
      <c r="L81">
        <f>IF(AND(E81="Y",F81="Y",G81="Y",H81="Y",I81="Y"),"Y","N")</f>
        <v/>
      </c>
    </row>
    <row r="82">
      <c r="A82">
        <f>'Catalog Master'!A82</f>
        <v/>
      </c>
      <c r="B82">
        <f>'Catalog Master'!B82</f>
        <v/>
      </c>
      <c r="C82">
        <f>'Catalog Master'!O82</f>
        <v/>
      </c>
      <c r="D82">
        <f>'Catalog Master'!F82</f>
        <v/>
      </c>
      <c r="E82">
        <f>IF('Catalog Master'!Q82&lt;&gt;"","Y","N")</f>
        <v/>
      </c>
      <c r="F82">
        <f>IF('Catalog Master'!S82&lt;&gt;"","Y","N")</f>
        <v/>
      </c>
      <c r="G82">
        <f>IF('Catalog Master'!X82&lt;&gt;"","Y","N")</f>
        <v/>
      </c>
      <c r="H82">
        <f>IF('Catalog Master'!V82&lt;&gt;"","Y","N")</f>
        <v/>
      </c>
      <c r="I82">
        <f>IF(AND('Catalog Master'!Z82&lt;&gt;"",'Catalog Master'!AA82&lt;&gt;"",'Catalog Master'!AB82&lt;&gt;""),"Y","N")</f>
        <v/>
      </c>
      <c r="J82">
        <f>'Catalog Master'!N82</f>
        <v/>
      </c>
      <c r="K82">
        <f>'Catalog Master'!AL82</f>
        <v/>
      </c>
      <c r="L82">
        <f>IF(AND(E82="Y",F82="Y",G82="Y",H82="Y",I82="Y"),"Y","N")</f>
        <v/>
      </c>
    </row>
    <row r="83">
      <c r="A83">
        <f>'Catalog Master'!A83</f>
        <v/>
      </c>
      <c r="B83">
        <f>'Catalog Master'!B83</f>
        <v/>
      </c>
      <c r="C83">
        <f>'Catalog Master'!O83</f>
        <v/>
      </c>
      <c r="D83">
        <f>'Catalog Master'!F83</f>
        <v/>
      </c>
      <c r="E83">
        <f>IF('Catalog Master'!Q83&lt;&gt;"","Y","N")</f>
        <v/>
      </c>
      <c r="F83">
        <f>IF('Catalog Master'!S83&lt;&gt;"","Y","N")</f>
        <v/>
      </c>
      <c r="G83">
        <f>IF('Catalog Master'!X83&lt;&gt;"","Y","N")</f>
        <v/>
      </c>
      <c r="H83">
        <f>IF('Catalog Master'!V83&lt;&gt;"","Y","N")</f>
        <v/>
      </c>
      <c r="I83">
        <f>IF(AND('Catalog Master'!Z83&lt;&gt;"",'Catalog Master'!AA83&lt;&gt;"",'Catalog Master'!AB83&lt;&gt;""),"Y","N")</f>
        <v/>
      </c>
      <c r="J83">
        <f>'Catalog Master'!N83</f>
        <v/>
      </c>
      <c r="K83">
        <f>'Catalog Master'!AL83</f>
        <v/>
      </c>
      <c r="L83">
        <f>IF(AND(E83="Y",F83="Y",G83="Y",H83="Y",I83="Y"),"Y","N")</f>
        <v/>
      </c>
    </row>
    <row r="84">
      <c r="A84">
        <f>'Catalog Master'!A84</f>
        <v/>
      </c>
      <c r="B84">
        <f>'Catalog Master'!B84</f>
        <v/>
      </c>
      <c r="C84">
        <f>'Catalog Master'!O84</f>
        <v/>
      </c>
      <c r="D84">
        <f>'Catalog Master'!F84</f>
        <v/>
      </c>
      <c r="E84">
        <f>IF('Catalog Master'!Q84&lt;&gt;"","Y","N")</f>
        <v/>
      </c>
      <c r="F84">
        <f>IF('Catalog Master'!S84&lt;&gt;"","Y","N")</f>
        <v/>
      </c>
      <c r="G84">
        <f>IF('Catalog Master'!X84&lt;&gt;"","Y","N")</f>
        <v/>
      </c>
      <c r="H84">
        <f>IF('Catalog Master'!V84&lt;&gt;"","Y","N")</f>
        <v/>
      </c>
      <c r="I84">
        <f>IF(AND('Catalog Master'!Z84&lt;&gt;"",'Catalog Master'!AA84&lt;&gt;"",'Catalog Master'!AB84&lt;&gt;""),"Y","N")</f>
        <v/>
      </c>
      <c r="J84">
        <f>'Catalog Master'!N84</f>
        <v/>
      </c>
      <c r="K84">
        <f>'Catalog Master'!AL84</f>
        <v/>
      </c>
      <c r="L84">
        <f>IF(AND(E84="Y",F84="Y",G84="Y",H84="Y",I84="Y"),"Y","N")</f>
        <v/>
      </c>
    </row>
    <row r="85">
      <c r="A85">
        <f>'Catalog Master'!A85</f>
        <v/>
      </c>
      <c r="B85">
        <f>'Catalog Master'!B85</f>
        <v/>
      </c>
      <c r="C85">
        <f>'Catalog Master'!O85</f>
        <v/>
      </c>
      <c r="D85">
        <f>'Catalog Master'!F85</f>
        <v/>
      </c>
      <c r="E85">
        <f>IF('Catalog Master'!Q85&lt;&gt;"","Y","N")</f>
        <v/>
      </c>
      <c r="F85">
        <f>IF('Catalog Master'!S85&lt;&gt;"","Y","N")</f>
        <v/>
      </c>
      <c r="G85">
        <f>IF('Catalog Master'!X85&lt;&gt;"","Y","N")</f>
        <v/>
      </c>
      <c r="H85">
        <f>IF('Catalog Master'!V85&lt;&gt;"","Y","N")</f>
        <v/>
      </c>
      <c r="I85">
        <f>IF(AND('Catalog Master'!Z85&lt;&gt;"",'Catalog Master'!AA85&lt;&gt;"",'Catalog Master'!AB85&lt;&gt;""),"Y","N")</f>
        <v/>
      </c>
      <c r="J85">
        <f>'Catalog Master'!N85</f>
        <v/>
      </c>
      <c r="K85">
        <f>'Catalog Master'!AL85</f>
        <v/>
      </c>
      <c r="L85">
        <f>IF(AND(E85="Y",F85="Y",G85="Y",H85="Y",I85="Y"),"Y","N")</f>
        <v/>
      </c>
    </row>
    <row r="86">
      <c r="A86">
        <f>'Catalog Master'!A86</f>
        <v/>
      </c>
      <c r="B86">
        <f>'Catalog Master'!B86</f>
        <v/>
      </c>
      <c r="C86">
        <f>'Catalog Master'!O86</f>
        <v/>
      </c>
      <c r="D86">
        <f>'Catalog Master'!F86</f>
        <v/>
      </c>
      <c r="E86">
        <f>IF('Catalog Master'!Q86&lt;&gt;"","Y","N")</f>
        <v/>
      </c>
      <c r="F86">
        <f>IF('Catalog Master'!S86&lt;&gt;"","Y","N")</f>
        <v/>
      </c>
      <c r="G86">
        <f>IF('Catalog Master'!X86&lt;&gt;"","Y","N")</f>
        <v/>
      </c>
      <c r="H86">
        <f>IF('Catalog Master'!V86&lt;&gt;"","Y","N")</f>
        <v/>
      </c>
      <c r="I86">
        <f>IF(AND('Catalog Master'!Z86&lt;&gt;"",'Catalog Master'!AA86&lt;&gt;"",'Catalog Master'!AB86&lt;&gt;""),"Y","N")</f>
        <v/>
      </c>
      <c r="J86">
        <f>'Catalog Master'!N86</f>
        <v/>
      </c>
      <c r="K86">
        <f>'Catalog Master'!AL86</f>
        <v/>
      </c>
      <c r="L86">
        <f>IF(AND(E86="Y",F86="Y",G86="Y",H86="Y",I86="Y"),"Y","N")</f>
        <v/>
      </c>
    </row>
    <row r="87">
      <c r="A87">
        <f>'Catalog Master'!A87</f>
        <v/>
      </c>
      <c r="B87">
        <f>'Catalog Master'!B87</f>
        <v/>
      </c>
      <c r="C87">
        <f>'Catalog Master'!O87</f>
        <v/>
      </c>
      <c r="D87">
        <f>'Catalog Master'!F87</f>
        <v/>
      </c>
      <c r="E87">
        <f>IF('Catalog Master'!Q87&lt;&gt;"","Y","N")</f>
        <v/>
      </c>
      <c r="F87">
        <f>IF('Catalog Master'!S87&lt;&gt;"","Y","N")</f>
        <v/>
      </c>
      <c r="G87">
        <f>IF('Catalog Master'!X87&lt;&gt;"","Y","N")</f>
        <v/>
      </c>
      <c r="H87">
        <f>IF('Catalog Master'!V87&lt;&gt;"","Y","N")</f>
        <v/>
      </c>
      <c r="I87">
        <f>IF(AND('Catalog Master'!Z87&lt;&gt;"",'Catalog Master'!AA87&lt;&gt;"",'Catalog Master'!AB87&lt;&gt;""),"Y","N")</f>
        <v/>
      </c>
      <c r="J87">
        <f>'Catalog Master'!N87</f>
        <v/>
      </c>
      <c r="K87">
        <f>'Catalog Master'!AL87</f>
        <v/>
      </c>
      <c r="L87">
        <f>IF(AND(E87="Y",F87="Y",G87="Y",H87="Y",I87="Y"),"Y","N")</f>
        <v/>
      </c>
    </row>
    <row r="88">
      <c r="A88">
        <f>'Catalog Master'!A88</f>
        <v/>
      </c>
      <c r="B88">
        <f>'Catalog Master'!B88</f>
        <v/>
      </c>
      <c r="C88">
        <f>'Catalog Master'!O88</f>
        <v/>
      </c>
      <c r="D88">
        <f>'Catalog Master'!F88</f>
        <v/>
      </c>
      <c r="E88">
        <f>IF('Catalog Master'!Q88&lt;&gt;"","Y","N")</f>
        <v/>
      </c>
      <c r="F88">
        <f>IF('Catalog Master'!S88&lt;&gt;"","Y","N")</f>
        <v/>
      </c>
      <c r="G88">
        <f>IF('Catalog Master'!X88&lt;&gt;"","Y","N")</f>
        <v/>
      </c>
      <c r="H88">
        <f>IF('Catalog Master'!V88&lt;&gt;"","Y","N")</f>
        <v/>
      </c>
      <c r="I88">
        <f>IF(AND('Catalog Master'!Z88&lt;&gt;"",'Catalog Master'!AA88&lt;&gt;"",'Catalog Master'!AB88&lt;&gt;""),"Y","N")</f>
        <v/>
      </c>
      <c r="J88">
        <f>'Catalog Master'!N88</f>
        <v/>
      </c>
      <c r="K88">
        <f>'Catalog Master'!AL88</f>
        <v/>
      </c>
      <c r="L88">
        <f>IF(AND(E88="Y",F88="Y",G88="Y",H88="Y",I88="Y"),"Y","N")</f>
        <v/>
      </c>
    </row>
    <row r="89">
      <c r="A89">
        <f>'Catalog Master'!A89</f>
        <v/>
      </c>
      <c r="B89">
        <f>'Catalog Master'!B89</f>
        <v/>
      </c>
      <c r="C89">
        <f>'Catalog Master'!O89</f>
        <v/>
      </c>
      <c r="D89">
        <f>'Catalog Master'!F89</f>
        <v/>
      </c>
      <c r="E89">
        <f>IF('Catalog Master'!Q89&lt;&gt;"","Y","N")</f>
        <v/>
      </c>
      <c r="F89">
        <f>IF('Catalog Master'!S89&lt;&gt;"","Y","N")</f>
        <v/>
      </c>
      <c r="G89">
        <f>IF('Catalog Master'!X89&lt;&gt;"","Y","N")</f>
        <v/>
      </c>
      <c r="H89">
        <f>IF('Catalog Master'!V89&lt;&gt;"","Y","N")</f>
        <v/>
      </c>
      <c r="I89">
        <f>IF(AND('Catalog Master'!Z89&lt;&gt;"",'Catalog Master'!AA89&lt;&gt;"",'Catalog Master'!AB89&lt;&gt;""),"Y","N")</f>
        <v/>
      </c>
      <c r="J89">
        <f>'Catalog Master'!N89</f>
        <v/>
      </c>
      <c r="K89">
        <f>'Catalog Master'!AL89</f>
        <v/>
      </c>
      <c r="L89">
        <f>IF(AND(E89="Y",F89="Y",G89="Y",H89="Y",I89="Y"),"Y","N")</f>
        <v/>
      </c>
    </row>
    <row r="90">
      <c r="A90">
        <f>'Catalog Master'!A90</f>
        <v/>
      </c>
      <c r="B90">
        <f>'Catalog Master'!B90</f>
        <v/>
      </c>
      <c r="C90">
        <f>'Catalog Master'!O90</f>
        <v/>
      </c>
      <c r="D90">
        <f>'Catalog Master'!F90</f>
        <v/>
      </c>
      <c r="E90">
        <f>IF('Catalog Master'!Q90&lt;&gt;"","Y","N")</f>
        <v/>
      </c>
      <c r="F90">
        <f>IF('Catalog Master'!S90&lt;&gt;"","Y","N")</f>
        <v/>
      </c>
      <c r="G90">
        <f>IF('Catalog Master'!X90&lt;&gt;"","Y","N")</f>
        <v/>
      </c>
      <c r="H90">
        <f>IF('Catalog Master'!V90&lt;&gt;"","Y","N")</f>
        <v/>
      </c>
      <c r="I90">
        <f>IF(AND('Catalog Master'!Z90&lt;&gt;"",'Catalog Master'!AA90&lt;&gt;"",'Catalog Master'!AB90&lt;&gt;""),"Y","N")</f>
        <v/>
      </c>
      <c r="J90">
        <f>'Catalog Master'!N90</f>
        <v/>
      </c>
      <c r="K90">
        <f>'Catalog Master'!AL90</f>
        <v/>
      </c>
      <c r="L90">
        <f>IF(AND(E90="Y",F90="Y",G90="Y",H90="Y",I90="Y"),"Y","N")</f>
        <v/>
      </c>
    </row>
    <row r="91">
      <c r="A91">
        <f>'Catalog Master'!A91</f>
        <v/>
      </c>
      <c r="B91">
        <f>'Catalog Master'!B91</f>
        <v/>
      </c>
      <c r="C91">
        <f>'Catalog Master'!O91</f>
        <v/>
      </c>
      <c r="D91">
        <f>'Catalog Master'!F91</f>
        <v/>
      </c>
      <c r="E91">
        <f>IF('Catalog Master'!Q91&lt;&gt;"","Y","N")</f>
        <v/>
      </c>
      <c r="F91">
        <f>IF('Catalog Master'!S91&lt;&gt;"","Y","N")</f>
        <v/>
      </c>
      <c r="G91">
        <f>IF('Catalog Master'!X91&lt;&gt;"","Y","N")</f>
        <v/>
      </c>
      <c r="H91">
        <f>IF('Catalog Master'!V91&lt;&gt;"","Y","N")</f>
        <v/>
      </c>
      <c r="I91">
        <f>IF(AND('Catalog Master'!Z91&lt;&gt;"",'Catalog Master'!AA91&lt;&gt;"",'Catalog Master'!AB91&lt;&gt;""),"Y","N")</f>
        <v/>
      </c>
      <c r="J91">
        <f>'Catalog Master'!N91</f>
        <v/>
      </c>
      <c r="K91">
        <f>'Catalog Master'!AL91</f>
        <v/>
      </c>
      <c r="L91">
        <f>IF(AND(E91="Y",F91="Y",G91="Y",H91="Y",I91="Y"),"Y","N")</f>
        <v/>
      </c>
    </row>
    <row r="92">
      <c r="A92">
        <f>'Catalog Master'!A92</f>
        <v/>
      </c>
      <c r="B92">
        <f>'Catalog Master'!B92</f>
        <v/>
      </c>
      <c r="C92">
        <f>'Catalog Master'!O92</f>
        <v/>
      </c>
      <c r="D92">
        <f>'Catalog Master'!F92</f>
        <v/>
      </c>
      <c r="E92">
        <f>IF('Catalog Master'!Q92&lt;&gt;"","Y","N")</f>
        <v/>
      </c>
      <c r="F92">
        <f>IF('Catalog Master'!S92&lt;&gt;"","Y","N")</f>
        <v/>
      </c>
      <c r="G92">
        <f>IF('Catalog Master'!X92&lt;&gt;"","Y","N")</f>
        <v/>
      </c>
      <c r="H92">
        <f>IF('Catalog Master'!V92&lt;&gt;"","Y","N")</f>
        <v/>
      </c>
      <c r="I92">
        <f>IF(AND('Catalog Master'!Z92&lt;&gt;"",'Catalog Master'!AA92&lt;&gt;"",'Catalog Master'!AB92&lt;&gt;""),"Y","N")</f>
        <v/>
      </c>
      <c r="J92">
        <f>'Catalog Master'!N92</f>
        <v/>
      </c>
      <c r="K92">
        <f>'Catalog Master'!AL92</f>
        <v/>
      </c>
      <c r="L92">
        <f>IF(AND(E92="Y",F92="Y",G92="Y",H92="Y",I92="Y"),"Y","N")</f>
        <v/>
      </c>
    </row>
    <row r="93">
      <c r="A93">
        <f>'Catalog Master'!A93</f>
        <v/>
      </c>
      <c r="B93">
        <f>'Catalog Master'!B93</f>
        <v/>
      </c>
      <c r="C93">
        <f>'Catalog Master'!O93</f>
        <v/>
      </c>
      <c r="D93">
        <f>'Catalog Master'!F93</f>
        <v/>
      </c>
      <c r="E93">
        <f>IF('Catalog Master'!Q93&lt;&gt;"","Y","N")</f>
        <v/>
      </c>
      <c r="F93">
        <f>IF('Catalog Master'!S93&lt;&gt;"","Y","N")</f>
        <v/>
      </c>
      <c r="G93">
        <f>IF('Catalog Master'!X93&lt;&gt;"","Y","N")</f>
        <v/>
      </c>
      <c r="H93">
        <f>IF('Catalog Master'!V93&lt;&gt;"","Y","N")</f>
        <v/>
      </c>
      <c r="I93">
        <f>IF(AND('Catalog Master'!Z93&lt;&gt;"",'Catalog Master'!AA93&lt;&gt;"",'Catalog Master'!AB93&lt;&gt;""),"Y","N")</f>
        <v/>
      </c>
      <c r="J93">
        <f>'Catalog Master'!N93</f>
        <v/>
      </c>
      <c r="K93">
        <f>'Catalog Master'!AL93</f>
        <v/>
      </c>
      <c r="L93">
        <f>IF(AND(E93="Y",F93="Y",G93="Y",H93="Y",I93="Y"),"Y","N")</f>
        <v/>
      </c>
    </row>
    <row r="94">
      <c r="A94">
        <f>'Catalog Master'!A94</f>
        <v/>
      </c>
      <c r="B94">
        <f>'Catalog Master'!B94</f>
        <v/>
      </c>
      <c r="C94">
        <f>'Catalog Master'!O94</f>
        <v/>
      </c>
      <c r="D94">
        <f>'Catalog Master'!F94</f>
        <v/>
      </c>
      <c r="E94">
        <f>IF('Catalog Master'!Q94&lt;&gt;"","Y","N")</f>
        <v/>
      </c>
      <c r="F94">
        <f>IF('Catalog Master'!S94&lt;&gt;"","Y","N")</f>
        <v/>
      </c>
      <c r="G94">
        <f>IF('Catalog Master'!X94&lt;&gt;"","Y","N")</f>
        <v/>
      </c>
      <c r="H94">
        <f>IF('Catalog Master'!V94&lt;&gt;"","Y","N")</f>
        <v/>
      </c>
      <c r="I94">
        <f>IF(AND('Catalog Master'!Z94&lt;&gt;"",'Catalog Master'!AA94&lt;&gt;"",'Catalog Master'!AB94&lt;&gt;""),"Y","N")</f>
        <v/>
      </c>
      <c r="J94">
        <f>'Catalog Master'!N94</f>
        <v/>
      </c>
      <c r="K94">
        <f>'Catalog Master'!AL94</f>
        <v/>
      </c>
      <c r="L94">
        <f>IF(AND(E94="Y",F94="Y",G94="Y",H94="Y",I94="Y"),"Y","N")</f>
        <v/>
      </c>
    </row>
    <row r="95">
      <c r="A95">
        <f>'Catalog Master'!A95</f>
        <v/>
      </c>
      <c r="B95">
        <f>'Catalog Master'!B95</f>
        <v/>
      </c>
      <c r="C95">
        <f>'Catalog Master'!O95</f>
        <v/>
      </c>
      <c r="D95">
        <f>'Catalog Master'!F95</f>
        <v/>
      </c>
      <c r="E95">
        <f>IF('Catalog Master'!Q95&lt;&gt;"","Y","N")</f>
        <v/>
      </c>
      <c r="F95">
        <f>IF('Catalog Master'!S95&lt;&gt;"","Y","N")</f>
        <v/>
      </c>
      <c r="G95">
        <f>IF('Catalog Master'!X95&lt;&gt;"","Y","N")</f>
        <v/>
      </c>
      <c r="H95">
        <f>IF('Catalog Master'!V95&lt;&gt;"","Y","N")</f>
        <v/>
      </c>
      <c r="I95">
        <f>IF(AND('Catalog Master'!Z95&lt;&gt;"",'Catalog Master'!AA95&lt;&gt;"",'Catalog Master'!AB95&lt;&gt;""),"Y","N")</f>
        <v/>
      </c>
      <c r="J95">
        <f>'Catalog Master'!N95</f>
        <v/>
      </c>
      <c r="K95">
        <f>'Catalog Master'!AL95</f>
        <v/>
      </c>
      <c r="L95">
        <f>IF(AND(E95="Y",F95="Y",G95="Y",H95="Y",I95="Y"),"Y","N")</f>
        <v/>
      </c>
    </row>
    <row r="96">
      <c r="A96">
        <f>'Catalog Master'!A96</f>
        <v/>
      </c>
      <c r="B96">
        <f>'Catalog Master'!B96</f>
        <v/>
      </c>
      <c r="C96">
        <f>'Catalog Master'!O96</f>
        <v/>
      </c>
      <c r="D96">
        <f>'Catalog Master'!F96</f>
        <v/>
      </c>
      <c r="E96">
        <f>IF('Catalog Master'!Q96&lt;&gt;"","Y","N")</f>
        <v/>
      </c>
      <c r="F96">
        <f>IF('Catalog Master'!S96&lt;&gt;"","Y","N")</f>
        <v/>
      </c>
      <c r="G96">
        <f>IF('Catalog Master'!X96&lt;&gt;"","Y","N")</f>
        <v/>
      </c>
      <c r="H96">
        <f>IF('Catalog Master'!V96&lt;&gt;"","Y","N")</f>
        <v/>
      </c>
      <c r="I96">
        <f>IF(AND('Catalog Master'!Z96&lt;&gt;"",'Catalog Master'!AA96&lt;&gt;"",'Catalog Master'!AB96&lt;&gt;""),"Y","N")</f>
        <v/>
      </c>
      <c r="J96">
        <f>'Catalog Master'!N96</f>
        <v/>
      </c>
      <c r="K96">
        <f>'Catalog Master'!AL96</f>
        <v/>
      </c>
      <c r="L96">
        <f>IF(AND(E96="Y",F96="Y",G96="Y",H96="Y",I96="Y"),"Y","N")</f>
        <v/>
      </c>
    </row>
    <row r="97">
      <c r="A97">
        <f>'Catalog Master'!A97</f>
        <v/>
      </c>
      <c r="B97">
        <f>'Catalog Master'!B97</f>
        <v/>
      </c>
      <c r="C97">
        <f>'Catalog Master'!O97</f>
        <v/>
      </c>
      <c r="D97">
        <f>'Catalog Master'!F97</f>
        <v/>
      </c>
      <c r="E97">
        <f>IF('Catalog Master'!Q97&lt;&gt;"","Y","N")</f>
        <v/>
      </c>
      <c r="F97">
        <f>IF('Catalog Master'!S97&lt;&gt;"","Y","N")</f>
        <v/>
      </c>
      <c r="G97">
        <f>IF('Catalog Master'!X97&lt;&gt;"","Y","N")</f>
        <v/>
      </c>
      <c r="H97">
        <f>IF('Catalog Master'!V97&lt;&gt;"","Y","N")</f>
        <v/>
      </c>
      <c r="I97">
        <f>IF(AND('Catalog Master'!Z97&lt;&gt;"",'Catalog Master'!AA97&lt;&gt;"",'Catalog Master'!AB97&lt;&gt;""),"Y","N")</f>
        <v/>
      </c>
      <c r="J97">
        <f>'Catalog Master'!N97</f>
        <v/>
      </c>
      <c r="K97">
        <f>'Catalog Master'!AL97</f>
        <v/>
      </c>
      <c r="L97">
        <f>IF(AND(E97="Y",F97="Y",G97="Y",H97="Y",I97="Y"),"Y","N")</f>
        <v/>
      </c>
    </row>
    <row r="98">
      <c r="A98">
        <f>'Catalog Master'!A98</f>
        <v/>
      </c>
      <c r="B98">
        <f>'Catalog Master'!B98</f>
        <v/>
      </c>
      <c r="C98">
        <f>'Catalog Master'!O98</f>
        <v/>
      </c>
      <c r="D98">
        <f>'Catalog Master'!F98</f>
        <v/>
      </c>
      <c r="E98">
        <f>IF('Catalog Master'!Q98&lt;&gt;"","Y","N")</f>
        <v/>
      </c>
      <c r="F98">
        <f>IF('Catalog Master'!S98&lt;&gt;"","Y","N")</f>
        <v/>
      </c>
      <c r="G98">
        <f>IF('Catalog Master'!X98&lt;&gt;"","Y","N")</f>
        <v/>
      </c>
      <c r="H98">
        <f>IF('Catalog Master'!V98&lt;&gt;"","Y","N")</f>
        <v/>
      </c>
      <c r="I98">
        <f>IF(AND('Catalog Master'!Z98&lt;&gt;"",'Catalog Master'!AA98&lt;&gt;"",'Catalog Master'!AB98&lt;&gt;""),"Y","N")</f>
        <v/>
      </c>
      <c r="J98">
        <f>'Catalog Master'!N98</f>
        <v/>
      </c>
      <c r="K98">
        <f>'Catalog Master'!AL98</f>
        <v/>
      </c>
      <c r="L98">
        <f>IF(AND(E98="Y",F98="Y",G98="Y",H98="Y",I98="Y"),"Y","N")</f>
        <v/>
      </c>
    </row>
    <row r="99">
      <c r="A99">
        <f>'Catalog Master'!A99</f>
        <v/>
      </c>
      <c r="B99">
        <f>'Catalog Master'!B99</f>
        <v/>
      </c>
      <c r="C99">
        <f>'Catalog Master'!O99</f>
        <v/>
      </c>
      <c r="D99">
        <f>'Catalog Master'!F99</f>
        <v/>
      </c>
      <c r="E99">
        <f>IF('Catalog Master'!Q99&lt;&gt;"","Y","N")</f>
        <v/>
      </c>
      <c r="F99">
        <f>IF('Catalog Master'!S99&lt;&gt;"","Y","N")</f>
        <v/>
      </c>
      <c r="G99">
        <f>IF('Catalog Master'!X99&lt;&gt;"","Y","N")</f>
        <v/>
      </c>
      <c r="H99">
        <f>IF('Catalog Master'!V99&lt;&gt;"","Y","N")</f>
        <v/>
      </c>
      <c r="I99">
        <f>IF(AND('Catalog Master'!Z99&lt;&gt;"",'Catalog Master'!AA99&lt;&gt;"",'Catalog Master'!AB99&lt;&gt;""),"Y","N")</f>
        <v/>
      </c>
      <c r="J99">
        <f>'Catalog Master'!N99</f>
        <v/>
      </c>
      <c r="K99">
        <f>'Catalog Master'!AL99</f>
        <v/>
      </c>
      <c r="L99">
        <f>IF(AND(E99="Y",F99="Y",G99="Y",H99="Y",I99="Y"),"Y","N")</f>
        <v/>
      </c>
    </row>
    <row r="100">
      <c r="A100">
        <f>'Catalog Master'!A100</f>
        <v/>
      </c>
      <c r="B100">
        <f>'Catalog Master'!B100</f>
        <v/>
      </c>
      <c r="C100">
        <f>'Catalog Master'!O100</f>
        <v/>
      </c>
      <c r="D100">
        <f>'Catalog Master'!F100</f>
        <v/>
      </c>
      <c r="E100">
        <f>IF('Catalog Master'!Q100&lt;&gt;"","Y","N")</f>
        <v/>
      </c>
      <c r="F100">
        <f>IF('Catalog Master'!S100&lt;&gt;"","Y","N")</f>
        <v/>
      </c>
      <c r="G100">
        <f>IF('Catalog Master'!X100&lt;&gt;"","Y","N")</f>
        <v/>
      </c>
      <c r="H100">
        <f>IF('Catalog Master'!V100&lt;&gt;"","Y","N")</f>
        <v/>
      </c>
      <c r="I100">
        <f>IF(AND('Catalog Master'!Z100&lt;&gt;"",'Catalog Master'!AA100&lt;&gt;"",'Catalog Master'!AB100&lt;&gt;""),"Y","N")</f>
        <v/>
      </c>
      <c r="J100">
        <f>'Catalog Master'!N100</f>
        <v/>
      </c>
      <c r="K100">
        <f>'Catalog Master'!AL100</f>
        <v/>
      </c>
      <c r="L100">
        <f>IF(AND(E100="Y",F100="Y",G100="Y",H100="Y",I100="Y"),"Y","N")</f>
        <v/>
      </c>
    </row>
    <row r="101">
      <c r="A101">
        <f>'Catalog Master'!A101</f>
        <v/>
      </c>
      <c r="B101">
        <f>'Catalog Master'!B101</f>
        <v/>
      </c>
      <c r="C101">
        <f>'Catalog Master'!O101</f>
        <v/>
      </c>
      <c r="D101">
        <f>'Catalog Master'!F101</f>
        <v/>
      </c>
      <c r="E101">
        <f>IF('Catalog Master'!Q101&lt;&gt;"","Y","N")</f>
        <v/>
      </c>
      <c r="F101">
        <f>IF('Catalog Master'!S101&lt;&gt;"","Y","N")</f>
        <v/>
      </c>
      <c r="G101">
        <f>IF('Catalog Master'!X101&lt;&gt;"","Y","N")</f>
        <v/>
      </c>
      <c r="H101">
        <f>IF('Catalog Master'!V101&lt;&gt;"","Y","N")</f>
        <v/>
      </c>
      <c r="I101">
        <f>IF(AND('Catalog Master'!Z101&lt;&gt;"",'Catalog Master'!AA101&lt;&gt;"",'Catalog Master'!AB101&lt;&gt;""),"Y","N")</f>
        <v/>
      </c>
      <c r="J101">
        <f>'Catalog Master'!N101</f>
        <v/>
      </c>
      <c r="K101">
        <f>'Catalog Master'!AL101</f>
        <v/>
      </c>
      <c r="L101">
        <f>IF(AND(E101="Y",F101="Y",G101="Y",H101="Y",I101="Y"),"Y","N")</f>
        <v/>
      </c>
    </row>
    <row r="102">
      <c r="A102">
        <f>'Catalog Master'!A102</f>
        <v/>
      </c>
      <c r="B102">
        <f>'Catalog Master'!B102</f>
        <v/>
      </c>
      <c r="C102">
        <f>'Catalog Master'!O102</f>
        <v/>
      </c>
      <c r="D102">
        <f>'Catalog Master'!F102</f>
        <v/>
      </c>
      <c r="E102">
        <f>IF('Catalog Master'!Q102&lt;&gt;"","Y","N")</f>
        <v/>
      </c>
      <c r="F102">
        <f>IF('Catalog Master'!S102&lt;&gt;"","Y","N")</f>
        <v/>
      </c>
      <c r="G102">
        <f>IF('Catalog Master'!X102&lt;&gt;"","Y","N")</f>
        <v/>
      </c>
      <c r="H102">
        <f>IF('Catalog Master'!V102&lt;&gt;"","Y","N")</f>
        <v/>
      </c>
      <c r="I102">
        <f>IF(AND('Catalog Master'!Z102&lt;&gt;"",'Catalog Master'!AA102&lt;&gt;"",'Catalog Master'!AB102&lt;&gt;""),"Y","N")</f>
        <v/>
      </c>
      <c r="J102">
        <f>'Catalog Master'!N102</f>
        <v/>
      </c>
      <c r="K102">
        <f>'Catalog Master'!AL102</f>
        <v/>
      </c>
      <c r="L102">
        <f>IF(AND(E102="Y",F102="Y",G102="Y",H102="Y",I102="Y"),"Y","N")</f>
        <v/>
      </c>
    </row>
    <row r="103">
      <c r="A103">
        <f>'Catalog Master'!A103</f>
        <v/>
      </c>
      <c r="B103">
        <f>'Catalog Master'!B103</f>
        <v/>
      </c>
      <c r="C103">
        <f>'Catalog Master'!O103</f>
        <v/>
      </c>
      <c r="D103">
        <f>'Catalog Master'!F103</f>
        <v/>
      </c>
      <c r="E103">
        <f>IF('Catalog Master'!Q103&lt;&gt;"","Y","N")</f>
        <v/>
      </c>
      <c r="F103">
        <f>IF('Catalog Master'!S103&lt;&gt;"","Y","N")</f>
        <v/>
      </c>
      <c r="G103">
        <f>IF('Catalog Master'!X103&lt;&gt;"","Y","N")</f>
        <v/>
      </c>
      <c r="H103">
        <f>IF('Catalog Master'!V103&lt;&gt;"","Y","N")</f>
        <v/>
      </c>
      <c r="I103">
        <f>IF(AND('Catalog Master'!Z103&lt;&gt;"",'Catalog Master'!AA103&lt;&gt;"",'Catalog Master'!AB103&lt;&gt;""),"Y","N")</f>
        <v/>
      </c>
      <c r="J103">
        <f>'Catalog Master'!N103</f>
        <v/>
      </c>
      <c r="K103">
        <f>'Catalog Master'!AL103</f>
        <v/>
      </c>
      <c r="L103">
        <f>IF(AND(E103="Y",F103="Y",G103="Y",H103="Y",I103="Y"),"Y","N")</f>
        <v/>
      </c>
    </row>
    <row r="104">
      <c r="A104">
        <f>'Catalog Master'!A104</f>
        <v/>
      </c>
      <c r="B104">
        <f>'Catalog Master'!B104</f>
        <v/>
      </c>
      <c r="C104">
        <f>'Catalog Master'!O104</f>
        <v/>
      </c>
      <c r="D104">
        <f>'Catalog Master'!F104</f>
        <v/>
      </c>
      <c r="E104">
        <f>IF('Catalog Master'!Q104&lt;&gt;"","Y","N")</f>
        <v/>
      </c>
      <c r="F104">
        <f>IF('Catalog Master'!S104&lt;&gt;"","Y","N")</f>
        <v/>
      </c>
      <c r="G104">
        <f>IF('Catalog Master'!X104&lt;&gt;"","Y","N")</f>
        <v/>
      </c>
      <c r="H104">
        <f>IF('Catalog Master'!V104&lt;&gt;"","Y","N")</f>
        <v/>
      </c>
      <c r="I104">
        <f>IF(AND('Catalog Master'!Z104&lt;&gt;"",'Catalog Master'!AA104&lt;&gt;"",'Catalog Master'!AB104&lt;&gt;""),"Y","N")</f>
        <v/>
      </c>
      <c r="J104">
        <f>'Catalog Master'!N104</f>
        <v/>
      </c>
      <c r="K104">
        <f>'Catalog Master'!AL104</f>
        <v/>
      </c>
      <c r="L104">
        <f>IF(AND(E104="Y",F104="Y",G104="Y",H104="Y",I104="Y"),"Y","N")</f>
        <v/>
      </c>
    </row>
    <row r="105">
      <c r="A105">
        <f>'Catalog Master'!A105</f>
        <v/>
      </c>
      <c r="B105">
        <f>'Catalog Master'!B105</f>
        <v/>
      </c>
      <c r="C105">
        <f>'Catalog Master'!O105</f>
        <v/>
      </c>
      <c r="D105">
        <f>'Catalog Master'!F105</f>
        <v/>
      </c>
      <c r="E105">
        <f>IF('Catalog Master'!Q105&lt;&gt;"","Y","N")</f>
        <v/>
      </c>
      <c r="F105">
        <f>IF('Catalog Master'!S105&lt;&gt;"","Y","N")</f>
        <v/>
      </c>
      <c r="G105">
        <f>IF('Catalog Master'!X105&lt;&gt;"","Y","N")</f>
        <v/>
      </c>
      <c r="H105">
        <f>IF('Catalog Master'!V105&lt;&gt;"","Y","N")</f>
        <v/>
      </c>
      <c r="I105">
        <f>IF(AND('Catalog Master'!Z105&lt;&gt;"",'Catalog Master'!AA105&lt;&gt;"",'Catalog Master'!AB105&lt;&gt;""),"Y","N")</f>
        <v/>
      </c>
      <c r="J105">
        <f>'Catalog Master'!N105</f>
        <v/>
      </c>
      <c r="K105">
        <f>'Catalog Master'!AL105</f>
        <v/>
      </c>
      <c r="L105">
        <f>IF(AND(E105="Y",F105="Y",G105="Y",H105="Y",I105="Y"),"Y","N")</f>
        <v/>
      </c>
    </row>
    <row r="106">
      <c r="A106">
        <f>'Catalog Master'!A106</f>
        <v/>
      </c>
      <c r="B106">
        <f>'Catalog Master'!B106</f>
        <v/>
      </c>
      <c r="C106">
        <f>'Catalog Master'!O106</f>
        <v/>
      </c>
      <c r="D106">
        <f>'Catalog Master'!F106</f>
        <v/>
      </c>
      <c r="E106">
        <f>IF('Catalog Master'!Q106&lt;&gt;"","Y","N")</f>
        <v/>
      </c>
      <c r="F106">
        <f>IF('Catalog Master'!S106&lt;&gt;"","Y","N")</f>
        <v/>
      </c>
      <c r="G106">
        <f>IF('Catalog Master'!X106&lt;&gt;"","Y","N")</f>
        <v/>
      </c>
      <c r="H106">
        <f>IF('Catalog Master'!V106&lt;&gt;"","Y","N")</f>
        <v/>
      </c>
      <c r="I106">
        <f>IF(AND('Catalog Master'!Z106&lt;&gt;"",'Catalog Master'!AA106&lt;&gt;"",'Catalog Master'!AB106&lt;&gt;""),"Y","N")</f>
        <v/>
      </c>
      <c r="J106">
        <f>'Catalog Master'!N106</f>
        <v/>
      </c>
      <c r="K106">
        <f>'Catalog Master'!AL106</f>
        <v/>
      </c>
      <c r="L106">
        <f>IF(AND(E106="Y",F106="Y",G106="Y",H106="Y",I106="Y"),"Y","N")</f>
        <v/>
      </c>
    </row>
    <row r="107">
      <c r="A107">
        <f>'Catalog Master'!A107</f>
        <v/>
      </c>
      <c r="B107">
        <f>'Catalog Master'!B107</f>
        <v/>
      </c>
      <c r="C107">
        <f>'Catalog Master'!O107</f>
        <v/>
      </c>
      <c r="D107">
        <f>'Catalog Master'!F107</f>
        <v/>
      </c>
      <c r="E107">
        <f>IF('Catalog Master'!Q107&lt;&gt;"","Y","N")</f>
        <v/>
      </c>
      <c r="F107">
        <f>IF('Catalog Master'!S107&lt;&gt;"","Y","N")</f>
        <v/>
      </c>
      <c r="G107">
        <f>IF('Catalog Master'!X107&lt;&gt;"","Y","N")</f>
        <v/>
      </c>
      <c r="H107">
        <f>IF('Catalog Master'!V107&lt;&gt;"","Y","N")</f>
        <v/>
      </c>
      <c r="I107">
        <f>IF(AND('Catalog Master'!Z107&lt;&gt;"",'Catalog Master'!AA107&lt;&gt;"",'Catalog Master'!AB107&lt;&gt;""),"Y","N")</f>
        <v/>
      </c>
      <c r="J107">
        <f>'Catalog Master'!N107</f>
        <v/>
      </c>
      <c r="K107">
        <f>'Catalog Master'!AL107</f>
        <v/>
      </c>
      <c r="L107">
        <f>IF(AND(E107="Y",F107="Y",G107="Y",H107="Y",I107="Y"),"Y","N")</f>
        <v/>
      </c>
    </row>
    <row r="108">
      <c r="A108">
        <f>'Catalog Master'!A108</f>
        <v/>
      </c>
      <c r="B108">
        <f>'Catalog Master'!B108</f>
        <v/>
      </c>
      <c r="C108">
        <f>'Catalog Master'!O108</f>
        <v/>
      </c>
      <c r="D108">
        <f>'Catalog Master'!F108</f>
        <v/>
      </c>
      <c r="E108">
        <f>IF('Catalog Master'!Q108&lt;&gt;"","Y","N")</f>
        <v/>
      </c>
      <c r="F108">
        <f>IF('Catalog Master'!S108&lt;&gt;"","Y","N")</f>
        <v/>
      </c>
      <c r="G108">
        <f>IF('Catalog Master'!X108&lt;&gt;"","Y","N")</f>
        <v/>
      </c>
      <c r="H108">
        <f>IF('Catalog Master'!V108&lt;&gt;"","Y","N")</f>
        <v/>
      </c>
      <c r="I108">
        <f>IF(AND('Catalog Master'!Z108&lt;&gt;"",'Catalog Master'!AA108&lt;&gt;"",'Catalog Master'!AB108&lt;&gt;""),"Y","N")</f>
        <v/>
      </c>
      <c r="J108">
        <f>'Catalog Master'!N108</f>
        <v/>
      </c>
      <c r="K108">
        <f>'Catalog Master'!AL108</f>
        <v/>
      </c>
      <c r="L108">
        <f>IF(AND(E108="Y",F108="Y",G108="Y",H108="Y",I108="Y"),"Y","N")</f>
        <v/>
      </c>
    </row>
    <row r="109">
      <c r="A109">
        <f>'Catalog Master'!A109</f>
        <v/>
      </c>
      <c r="B109">
        <f>'Catalog Master'!B109</f>
        <v/>
      </c>
      <c r="C109">
        <f>'Catalog Master'!O109</f>
        <v/>
      </c>
      <c r="D109">
        <f>'Catalog Master'!F109</f>
        <v/>
      </c>
      <c r="E109">
        <f>IF('Catalog Master'!Q109&lt;&gt;"","Y","N")</f>
        <v/>
      </c>
      <c r="F109">
        <f>IF('Catalog Master'!S109&lt;&gt;"","Y","N")</f>
        <v/>
      </c>
      <c r="G109">
        <f>IF('Catalog Master'!X109&lt;&gt;"","Y","N")</f>
        <v/>
      </c>
      <c r="H109">
        <f>IF('Catalog Master'!V109&lt;&gt;"","Y","N")</f>
        <v/>
      </c>
      <c r="I109">
        <f>IF(AND('Catalog Master'!Z109&lt;&gt;"",'Catalog Master'!AA109&lt;&gt;"",'Catalog Master'!AB109&lt;&gt;""),"Y","N")</f>
        <v/>
      </c>
      <c r="J109">
        <f>'Catalog Master'!N109</f>
        <v/>
      </c>
      <c r="K109">
        <f>'Catalog Master'!AL109</f>
        <v/>
      </c>
      <c r="L109">
        <f>IF(AND(E109="Y",F109="Y",G109="Y",H109="Y",I109="Y"),"Y","N")</f>
        <v/>
      </c>
    </row>
    <row r="110">
      <c r="A110">
        <f>'Catalog Master'!A110</f>
        <v/>
      </c>
      <c r="B110">
        <f>'Catalog Master'!B110</f>
        <v/>
      </c>
      <c r="C110">
        <f>'Catalog Master'!O110</f>
        <v/>
      </c>
      <c r="D110">
        <f>'Catalog Master'!F110</f>
        <v/>
      </c>
      <c r="E110">
        <f>IF('Catalog Master'!Q110&lt;&gt;"","Y","N")</f>
        <v/>
      </c>
      <c r="F110">
        <f>IF('Catalog Master'!S110&lt;&gt;"","Y","N")</f>
        <v/>
      </c>
      <c r="G110">
        <f>IF('Catalog Master'!X110&lt;&gt;"","Y","N")</f>
        <v/>
      </c>
      <c r="H110">
        <f>IF('Catalog Master'!V110&lt;&gt;"","Y","N")</f>
        <v/>
      </c>
      <c r="I110">
        <f>IF(AND('Catalog Master'!Z110&lt;&gt;"",'Catalog Master'!AA110&lt;&gt;"",'Catalog Master'!AB110&lt;&gt;""),"Y","N")</f>
        <v/>
      </c>
      <c r="J110">
        <f>'Catalog Master'!N110</f>
        <v/>
      </c>
      <c r="K110">
        <f>'Catalog Master'!AL110</f>
        <v/>
      </c>
      <c r="L110">
        <f>IF(AND(E110="Y",F110="Y",G110="Y",H110="Y",I110="Y"),"Y","N")</f>
        <v/>
      </c>
    </row>
    <row r="111">
      <c r="A111">
        <f>'Catalog Master'!A111</f>
        <v/>
      </c>
      <c r="B111">
        <f>'Catalog Master'!B111</f>
        <v/>
      </c>
      <c r="C111">
        <f>'Catalog Master'!O111</f>
        <v/>
      </c>
      <c r="D111">
        <f>'Catalog Master'!F111</f>
        <v/>
      </c>
      <c r="E111">
        <f>IF('Catalog Master'!Q111&lt;&gt;"","Y","N")</f>
        <v/>
      </c>
      <c r="F111">
        <f>IF('Catalog Master'!S111&lt;&gt;"","Y","N")</f>
        <v/>
      </c>
      <c r="G111">
        <f>IF('Catalog Master'!X111&lt;&gt;"","Y","N")</f>
        <v/>
      </c>
      <c r="H111">
        <f>IF('Catalog Master'!V111&lt;&gt;"","Y","N")</f>
        <v/>
      </c>
      <c r="I111">
        <f>IF(AND('Catalog Master'!Z111&lt;&gt;"",'Catalog Master'!AA111&lt;&gt;"",'Catalog Master'!AB111&lt;&gt;""),"Y","N")</f>
        <v/>
      </c>
      <c r="J111">
        <f>'Catalog Master'!N111</f>
        <v/>
      </c>
      <c r="K111">
        <f>'Catalog Master'!AL111</f>
        <v/>
      </c>
      <c r="L111">
        <f>IF(AND(E111="Y",F111="Y",G111="Y",H111="Y",I111="Y"),"Y","N")</f>
        <v/>
      </c>
    </row>
    <row r="112">
      <c r="A112">
        <f>'Catalog Master'!A112</f>
        <v/>
      </c>
      <c r="B112">
        <f>'Catalog Master'!B112</f>
        <v/>
      </c>
      <c r="C112">
        <f>'Catalog Master'!O112</f>
        <v/>
      </c>
      <c r="D112">
        <f>'Catalog Master'!F112</f>
        <v/>
      </c>
      <c r="E112">
        <f>IF('Catalog Master'!Q112&lt;&gt;"","Y","N")</f>
        <v/>
      </c>
      <c r="F112">
        <f>IF('Catalog Master'!S112&lt;&gt;"","Y","N")</f>
        <v/>
      </c>
      <c r="G112">
        <f>IF('Catalog Master'!X112&lt;&gt;"","Y","N")</f>
        <v/>
      </c>
      <c r="H112">
        <f>IF('Catalog Master'!V112&lt;&gt;"","Y","N")</f>
        <v/>
      </c>
      <c r="I112">
        <f>IF(AND('Catalog Master'!Z112&lt;&gt;"",'Catalog Master'!AA112&lt;&gt;"",'Catalog Master'!AB112&lt;&gt;""),"Y","N")</f>
        <v/>
      </c>
      <c r="J112">
        <f>'Catalog Master'!N112</f>
        <v/>
      </c>
      <c r="K112">
        <f>'Catalog Master'!AL112</f>
        <v/>
      </c>
      <c r="L112">
        <f>IF(AND(E112="Y",F112="Y",G112="Y",H112="Y",I112="Y"),"Y","N")</f>
        <v/>
      </c>
    </row>
    <row r="113">
      <c r="A113">
        <f>'Catalog Master'!A113</f>
        <v/>
      </c>
      <c r="B113">
        <f>'Catalog Master'!B113</f>
        <v/>
      </c>
      <c r="C113">
        <f>'Catalog Master'!O113</f>
        <v/>
      </c>
      <c r="D113">
        <f>'Catalog Master'!F113</f>
        <v/>
      </c>
      <c r="E113">
        <f>IF('Catalog Master'!Q113&lt;&gt;"","Y","N")</f>
        <v/>
      </c>
      <c r="F113">
        <f>IF('Catalog Master'!S113&lt;&gt;"","Y","N")</f>
        <v/>
      </c>
      <c r="G113">
        <f>IF('Catalog Master'!X113&lt;&gt;"","Y","N")</f>
        <v/>
      </c>
      <c r="H113">
        <f>IF('Catalog Master'!V113&lt;&gt;"","Y","N")</f>
        <v/>
      </c>
      <c r="I113">
        <f>IF(AND('Catalog Master'!Z113&lt;&gt;"",'Catalog Master'!AA113&lt;&gt;"",'Catalog Master'!AB113&lt;&gt;""),"Y","N")</f>
        <v/>
      </c>
      <c r="J113">
        <f>'Catalog Master'!N113</f>
        <v/>
      </c>
      <c r="K113">
        <f>'Catalog Master'!AL113</f>
        <v/>
      </c>
      <c r="L113">
        <f>IF(AND(E113="Y",F113="Y",G113="Y",H113="Y",I113="Y"),"Y","N")</f>
        <v/>
      </c>
    </row>
    <row r="114">
      <c r="A114">
        <f>'Catalog Master'!A114</f>
        <v/>
      </c>
      <c r="B114">
        <f>'Catalog Master'!B114</f>
        <v/>
      </c>
      <c r="C114">
        <f>'Catalog Master'!O114</f>
        <v/>
      </c>
      <c r="D114">
        <f>'Catalog Master'!F114</f>
        <v/>
      </c>
      <c r="E114">
        <f>IF('Catalog Master'!Q114&lt;&gt;"","Y","N")</f>
        <v/>
      </c>
      <c r="F114">
        <f>IF('Catalog Master'!S114&lt;&gt;"","Y","N")</f>
        <v/>
      </c>
      <c r="G114">
        <f>IF('Catalog Master'!X114&lt;&gt;"","Y","N")</f>
        <v/>
      </c>
      <c r="H114">
        <f>IF('Catalog Master'!V114&lt;&gt;"","Y","N")</f>
        <v/>
      </c>
      <c r="I114">
        <f>IF(AND('Catalog Master'!Z114&lt;&gt;"",'Catalog Master'!AA114&lt;&gt;"",'Catalog Master'!AB114&lt;&gt;""),"Y","N")</f>
        <v/>
      </c>
      <c r="J114">
        <f>'Catalog Master'!N114</f>
        <v/>
      </c>
      <c r="K114">
        <f>'Catalog Master'!AL114</f>
        <v/>
      </c>
      <c r="L114">
        <f>IF(AND(E114="Y",F114="Y",G114="Y",H114="Y",I114="Y"),"Y","N")</f>
        <v/>
      </c>
    </row>
    <row r="115">
      <c r="A115">
        <f>'Catalog Master'!A115</f>
        <v/>
      </c>
      <c r="B115">
        <f>'Catalog Master'!B115</f>
        <v/>
      </c>
      <c r="C115">
        <f>'Catalog Master'!O115</f>
        <v/>
      </c>
      <c r="D115">
        <f>'Catalog Master'!F115</f>
        <v/>
      </c>
      <c r="E115">
        <f>IF('Catalog Master'!Q115&lt;&gt;"","Y","N")</f>
        <v/>
      </c>
      <c r="F115">
        <f>IF('Catalog Master'!S115&lt;&gt;"","Y","N")</f>
        <v/>
      </c>
      <c r="G115">
        <f>IF('Catalog Master'!X115&lt;&gt;"","Y","N")</f>
        <v/>
      </c>
      <c r="H115">
        <f>IF('Catalog Master'!V115&lt;&gt;"","Y","N")</f>
        <v/>
      </c>
      <c r="I115">
        <f>IF(AND('Catalog Master'!Z115&lt;&gt;"",'Catalog Master'!AA115&lt;&gt;"",'Catalog Master'!AB115&lt;&gt;""),"Y","N")</f>
        <v/>
      </c>
      <c r="J115">
        <f>'Catalog Master'!N115</f>
        <v/>
      </c>
      <c r="K115">
        <f>'Catalog Master'!AL115</f>
        <v/>
      </c>
      <c r="L115">
        <f>IF(AND(E115="Y",F115="Y",G115="Y",H115="Y",I115="Y"),"Y","N")</f>
        <v/>
      </c>
    </row>
    <row r="116">
      <c r="A116">
        <f>'Catalog Master'!A116</f>
        <v/>
      </c>
      <c r="B116">
        <f>'Catalog Master'!B116</f>
        <v/>
      </c>
      <c r="C116">
        <f>'Catalog Master'!O116</f>
        <v/>
      </c>
      <c r="D116">
        <f>'Catalog Master'!F116</f>
        <v/>
      </c>
      <c r="E116">
        <f>IF('Catalog Master'!Q116&lt;&gt;"","Y","N")</f>
        <v/>
      </c>
      <c r="F116">
        <f>IF('Catalog Master'!S116&lt;&gt;"","Y","N")</f>
        <v/>
      </c>
      <c r="G116">
        <f>IF('Catalog Master'!X116&lt;&gt;"","Y","N")</f>
        <v/>
      </c>
      <c r="H116">
        <f>IF('Catalog Master'!V116&lt;&gt;"","Y","N")</f>
        <v/>
      </c>
      <c r="I116">
        <f>IF(AND('Catalog Master'!Z116&lt;&gt;"",'Catalog Master'!AA116&lt;&gt;"",'Catalog Master'!AB116&lt;&gt;""),"Y","N")</f>
        <v/>
      </c>
      <c r="J116">
        <f>'Catalog Master'!N116</f>
        <v/>
      </c>
      <c r="K116">
        <f>'Catalog Master'!AL116</f>
        <v/>
      </c>
      <c r="L116">
        <f>IF(AND(E116="Y",F116="Y",G116="Y",H116="Y",I116="Y"),"Y","N")</f>
        <v/>
      </c>
    </row>
    <row r="117">
      <c r="A117">
        <f>'Catalog Master'!A117</f>
        <v/>
      </c>
      <c r="B117">
        <f>'Catalog Master'!B117</f>
        <v/>
      </c>
      <c r="C117">
        <f>'Catalog Master'!O117</f>
        <v/>
      </c>
      <c r="D117">
        <f>'Catalog Master'!F117</f>
        <v/>
      </c>
      <c r="E117">
        <f>IF('Catalog Master'!Q117&lt;&gt;"","Y","N")</f>
        <v/>
      </c>
      <c r="F117">
        <f>IF('Catalog Master'!S117&lt;&gt;"","Y","N")</f>
        <v/>
      </c>
      <c r="G117">
        <f>IF('Catalog Master'!X117&lt;&gt;"","Y","N")</f>
        <v/>
      </c>
      <c r="H117">
        <f>IF('Catalog Master'!V117&lt;&gt;"","Y","N")</f>
        <v/>
      </c>
      <c r="I117">
        <f>IF(AND('Catalog Master'!Z117&lt;&gt;"",'Catalog Master'!AA117&lt;&gt;"",'Catalog Master'!AB117&lt;&gt;""),"Y","N")</f>
        <v/>
      </c>
      <c r="J117">
        <f>'Catalog Master'!N117</f>
        <v/>
      </c>
      <c r="K117">
        <f>'Catalog Master'!AL117</f>
        <v/>
      </c>
      <c r="L117">
        <f>IF(AND(E117="Y",F117="Y",G117="Y",H117="Y",I117="Y"),"Y","N")</f>
        <v/>
      </c>
    </row>
    <row r="118">
      <c r="A118">
        <f>'Catalog Master'!A118</f>
        <v/>
      </c>
      <c r="B118">
        <f>'Catalog Master'!B118</f>
        <v/>
      </c>
      <c r="C118">
        <f>'Catalog Master'!O118</f>
        <v/>
      </c>
      <c r="D118">
        <f>'Catalog Master'!F118</f>
        <v/>
      </c>
      <c r="E118">
        <f>IF('Catalog Master'!Q118&lt;&gt;"","Y","N")</f>
        <v/>
      </c>
      <c r="F118">
        <f>IF('Catalog Master'!S118&lt;&gt;"","Y","N")</f>
        <v/>
      </c>
      <c r="G118">
        <f>IF('Catalog Master'!X118&lt;&gt;"","Y","N")</f>
        <v/>
      </c>
      <c r="H118">
        <f>IF('Catalog Master'!V118&lt;&gt;"","Y","N")</f>
        <v/>
      </c>
      <c r="I118">
        <f>IF(AND('Catalog Master'!Z118&lt;&gt;"",'Catalog Master'!AA118&lt;&gt;"",'Catalog Master'!AB118&lt;&gt;""),"Y","N")</f>
        <v/>
      </c>
      <c r="J118">
        <f>'Catalog Master'!N118</f>
        <v/>
      </c>
      <c r="K118">
        <f>'Catalog Master'!AL118</f>
        <v/>
      </c>
      <c r="L118">
        <f>IF(AND(E118="Y",F118="Y",G118="Y",H118="Y",I118="Y"),"Y","N")</f>
        <v/>
      </c>
    </row>
    <row r="119">
      <c r="A119">
        <f>'Catalog Master'!A119</f>
        <v/>
      </c>
      <c r="B119">
        <f>'Catalog Master'!B119</f>
        <v/>
      </c>
      <c r="C119">
        <f>'Catalog Master'!O119</f>
        <v/>
      </c>
      <c r="D119">
        <f>'Catalog Master'!F119</f>
        <v/>
      </c>
      <c r="E119">
        <f>IF('Catalog Master'!Q119&lt;&gt;"","Y","N")</f>
        <v/>
      </c>
      <c r="F119">
        <f>IF('Catalog Master'!S119&lt;&gt;"","Y","N")</f>
        <v/>
      </c>
      <c r="G119">
        <f>IF('Catalog Master'!X119&lt;&gt;"","Y","N")</f>
        <v/>
      </c>
      <c r="H119">
        <f>IF('Catalog Master'!V119&lt;&gt;"","Y","N")</f>
        <v/>
      </c>
      <c r="I119">
        <f>IF(AND('Catalog Master'!Z119&lt;&gt;"",'Catalog Master'!AA119&lt;&gt;"",'Catalog Master'!AB119&lt;&gt;""),"Y","N")</f>
        <v/>
      </c>
      <c r="J119">
        <f>'Catalog Master'!N119</f>
        <v/>
      </c>
      <c r="K119">
        <f>'Catalog Master'!AL119</f>
        <v/>
      </c>
      <c r="L119">
        <f>IF(AND(E119="Y",F119="Y",G119="Y",H119="Y",I119="Y"),"Y","N")</f>
        <v/>
      </c>
    </row>
    <row r="120">
      <c r="A120">
        <f>'Catalog Master'!A120</f>
        <v/>
      </c>
      <c r="B120">
        <f>'Catalog Master'!B120</f>
        <v/>
      </c>
      <c r="C120">
        <f>'Catalog Master'!O120</f>
        <v/>
      </c>
      <c r="D120">
        <f>'Catalog Master'!F120</f>
        <v/>
      </c>
      <c r="E120">
        <f>IF('Catalog Master'!Q120&lt;&gt;"","Y","N")</f>
        <v/>
      </c>
      <c r="F120">
        <f>IF('Catalog Master'!S120&lt;&gt;"","Y","N")</f>
        <v/>
      </c>
      <c r="G120">
        <f>IF('Catalog Master'!X120&lt;&gt;"","Y","N")</f>
        <v/>
      </c>
      <c r="H120">
        <f>IF('Catalog Master'!V120&lt;&gt;"","Y","N")</f>
        <v/>
      </c>
      <c r="I120">
        <f>IF(AND('Catalog Master'!Z120&lt;&gt;"",'Catalog Master'!AA120&lt;&gt;"",'Catalog Master'!AB120&lt;&gt;""),"Y","N")</f>
        <v/>
      </c>
      <c r="J120">
        <f>'Catalog Master'!N120</f>
        <v/>
      </c>
      <c r="K120">
        <f>'Catalog Master'!AL120</f>
        <v/>
      </c>
      <c r="L120">
        <f>IF(AND(E120="Y",F120="Y",G120="Y",H120="Y",I120="Y"),"Y","N")</f>
        <v/>
      </c>
    </row>
    <row r="121">
      <c r="A121">
        <f>'Catalog Master'!A121</f>
        <v/>
      </c>
      <c r="B121">
        <f>'Catalog Master'!B121</f>
        <v/>
      </c>
      <c r="C121">
        <f>'Catalog Master'!O121</f>
        <v/>
      </c>
      <c r="D121">
        <f>'Catalog Master'!F121</f>
        <v/>
      </c>
      <c r="E121">
        <f>IF('Catalog Master'!Q121&lt;&gt;"","Y","N")</f>
        <v/>
      </c>
      <c r="F121">
        <f>IF('Catalog Master'!S121&lt;&gt;"","Y","N")</f>
        <v/>
      </c>
      <c r="G121">
        <f>IF('Catalog Master'!X121&lt;&gt;"","Y","N")</f>
        <v/>
      </c>
      <c r="H121">
        <f>IF('Catalog Master'!V121&lt;&gt;"","Y","N")</f>
        <v/>
      </c>
      <c r="I121">
        <f>IF(AND('Catalog Master'!Z121&lt;&gt;"",'Catalog Master'!AA121&lt;&gt;"",'Catalog Master'!AB121&lt;&gt;""),"Y","N")</f>
        <v/>
      </c>
      <c r="J121">
        <f>'Catalog Master'!N121</f>
        <v/>
      </c>
      <c r="K121">
        <f>'Catalog Master'!AL121</f>
        <v/>
      </c>
      <c r="L121">
        <f>IF(AND(E121="Y",F121="Y",G121="Y",H121="Y",I121="Y"),"Y","N")</f>
        <v/>
      </c>
    </row>
    <row r="122">
      <c r="A122">
        <f>'Catalog Master'!A122</f>
        <v/>
      </c>
      <c r="B122">
        <f>'Catalog Master'!B122</f>
        <v/>
      </c>
      <c r="C122">
        <f>'Catalog Master'!O122</f>
        <v/>
      </c>
      <c r="D122">
        <f>'Catalog Master'!F122</f>
        <v/>
      </c>
      <c r="E122">
        <f>IF('Catalog Master'!Q122&lt;&gt;"","Y","N")</f>
        <v/>
      </c>
      <c r="F122">
        <f>IF('Catalog Master'!S122&lt;&gt;"","Y","N")</f>
        <v/>
      </c>
      <c r="G122">
        <f>IF('Catalog Master'!X122&lt;&gt;"","Y","N")</f>
        <v/>
      </c>
      <c r="H122">
        <f>IF('Catalog Master'!V122&lt;&gt;"","Y","N")</f>
        <v/>
      </c>
      <c r="I122">
        <f>IF(AND('Catalog Master'!Z122&lt;&gt;"",'Catalog Master'!AA122&lt;&gt;"",'Catalog Master'!AB122&lt;&gt;""),"Y","N")</f>
        <v/>
      </c>
      <c r="J122">
        <f>'Catalog Master'!N122</f>
        <v/>
      </c>
      <c r="K122">
        <f>'Catalog Master'!AL122</f>
        <v/>
      </c>
      <c r="L122">
        <f>IF(AND(E122="Y",F122="Y",G122="Y",H122="Y",I122="Y"),"Y","N")</f>
        <v/>
      </c>
    </row>
    <row r="123">
      <c r="A123">
        <f>'Catalog Master'!A123</f>
        <v/>
      </c>
      <c r="B123">
        <f>'Catalog Master'!B123</f>
        <v/>
      </c>
      <c r="C123">
        <f>'Catalog Master'!O123</f>
        <v/>
      </c>
      <c r="D123">
        <f>'Catalog Master'!F123</f>
        <v/>
      </c>
      <c r="E123">
        <f>IF('Catalog Master'!Q123&lt;&gt;"","Y","N")</f>
        <v/>
      </c>
      <c r="F123">
        <f>IF('Catalog Master'!S123&lt;&gt;"","Y","N")</f>
        <v/>
      </c>
      <c r="G123">
        <f>IF('Catalog Master'!X123&lt;&gt;"","Y","N")</f>
        <v/>
      </c>
      <c r="H123">
        <f>IF('Catalog Master'!V123&lt;&gt;"","Y","N")</f>
        <v/>
      </c>
      <c r="I123">
        <f>IF(AND('Catalog Master'!Z123&lt;&gt;"",'Catalog Master'!AA123&lt;&gt;"",'Catalog Master'!AB123&lt;&gt;""),"Y","N")</f>
        <v/>
      </c>
      <c r="J123">
        <f>'Catalog Master'!N123</f>
        <v/>
      </c>
      <c r="K123">
        <f>'Catalog Master'!AL123</f>
        <v/>
      </c>
      <c r="L123">
        <f>IF(AND(E123="Y",F123="Y",G123="Y",H123="Y",I123="Y"),"Y","N")</f>
        <v/>
      </c>
    </row>
    <row r="124">
      <c r="A124">
        <f>'Catalog Master'!A124</f>
        <v/>
      </c>
      <c r="B124">
        <f>'Catalog Master'!B124</f>
        <v/>
      </c>
      <c r="C124">
        <f>'Catalog Master'!O124</f>
        <v/>
      </c>
      <c r="D124">
        <f>'Catalog Master'!F124</f>
        <v/>
      </c>
      <c r="E124">
        <f>IF('Catalog Master'!Q124&lt;&gt;"","Y","N")</f>
        <v/>
      </c>
      <c r="F124">
        <f>IF('Catalog Master'!S124&lt;&gt;"","Y","N")</f>
        <v/>
      </c>
      <c r="G124">
        <f>IF('Catalog Master'!X124&lt;&gt;"","Y","N")</f>
        <v/>
      </c>
      <c r="H124">
        <f>IF('Catalog Master'!V124&lt;&gt;"","Y","N")</f>
        <v/>
      </c>
      <c r="I124">
        <f>IF(AND('Catalog Master'!Z124&lt;&gt;"",'Catalog Master'!AA124&lt;&gt;"",'Catalog Master'!AB124&lt;&gt;""),"Y","N")</f>
        <v/>
      </c>
      <c r="J124">
        <f>'Catalog Master'!N124</f>
        <v/>
      </c>
      <c r="K124">
        <f>'Catalog Master'!AL124</f>
        <v/>
      </c>
      <c r="L124">
        <f>IF(AND(E124="Y",F124="Y",G124="Y",H124="Y",I124="Y"),"Y","N")</f>
        <v/>
      </c>
    </row>
    <row r="125">
      <c r="A125">
        <f>'Catalog Master'!A125</f>
        <v/>
      </c>
      <c r="B125">
        <f>'Catalog Master'!B125</f>
        <v/>
      </c>
      <c r="C125">
        <f>'Catalog Master'!O125</f>
        <v/>
      </c>
      <c r="D125">
        <f>'Catalog Master'!F125</f>
        <v/>
      </c>
      <c r="E125">
        <f>IF('Catalog Master'!Q125&lt;&gt;"","Y","N")</f>
        <v/>
      </c>
      <c r="F125">
        <f>IF('Catalog Master'!S125&lt;&gt;"","Y","N")</f>
        <v/>
      </c>
      <c r="G125">
        <f>IF('Catalog Master'!X125&lt;&gt;"","Y","N")</f>
        <v/>
      </c>
      <c r="H125">
        <f>IF('Catalog Master'!V125&lt;&gt;"","Y","N")</f>
        <v/>
      </c>
      <c r="I125">
        <f>IF(AND('Catalog Master'!Z125&lt;&gt;"",'Catalog Master'!AA125&lt;&gt;"",'Catalog Master'!AB125&lt;&gt;""),"Y","N")</f>
        <v/>
      </c>
      <c r="J125">
        <f>'Catalog Master'!N125</f>
        <v/>
      </c>
      <c r="K125">
        <f>'Catalog Master'!AL125</f>
        <v/>
      </c>
      <c r="L125">
        <f>IF(AND(E125="Y",F125="Y",G125="Y",H125="Y",I125="Y"),"Y","N")</f>
        <v/>
      </c>
    </row>
    <row r="126">
      <c r="A126">
        <f>'Catalog Master'!A126</f>
        <v/>
      </c>
      <c r="B126">
        <f>'Catalog Master'!B126</f>
        <v/>
      </c>
      <c r="C126">
        <f>'Catalog Master'!O126</f>
        <v/>
      </c>
      <c r="D126">
        <f>'Catalog Master'!F126</f>
        <v/>
      </c>
      <c r="E126">
        <f>IF('Catalog Master'!Q126&lt;&gt;"","Y","N")</f>
        <v/>
      </c>
      <c r="F126">
        <f>IF('Catalog Master'!S126&lt;&gt;"","Y","N")</f>
        <v/>
      </c>
      <c r="G126">
        <f>IF('Catalog Master'!X126&lt;&gt;"","Y","N")</f>
        <v/>
      </c>
      <c r="H126">
        <f>IF('Catalog Master'!V126&lt;&gt;"","Y","N")</f>
        <v/>
      </c>
      <c r="I126">
        <f>IF(AND('Catalog Master'!Z126&lt;&gt;"",'Catalog Master'!AA126&lt;&gt;"",'Catalog Master'!AB126&lt;&gt;""),"Y","N")</f>
        <v/>
      </c>
      <c r="J126">
        <f>'Catalog Master'!N126</f>
        <v/>
      </c>
      <c r="K126">
        <f>'Catalog Master'!AL126</f>
        <v/>
      </c>
      <c r="L126">
        <f>IF(AND(E126="Y",F126="Y",G126="Y",H126="Y",I126="Y"),"Y","N")</f>
        <v/>
      </c>
    </row>
    <row r="127">
      <c r="A127">
        <f>'Catalog Master'!A127</f>
        <v/>
      </c>
      <c r="B127">
        <f>'Catalog Master'!B127</f>
        <v/>
      </c>
      <c r="C127">
        <f>'Catalog Master'!O127</f>
        <v/>
      </c>
      <c r="D127">
        <f>'Catalog Master'!F127</f>
        <v/>
      </c>
      <c r="E127">
        <f>IF('Catalog Master'!Q127&lt;&gt;"","Y","N")</f>
        <v/>
      </c>
      <c r="F127">
        <f>IF('Catalog Master'!S127&lt;&gt;"","Y","N")</f>
        <v/>
      </c>
      <c r="G127">
        <f>IF('Catalog Master'!X127&lt;&gt;"","Y","N")</f>
        <v/>
      </c>
      <c r="H127">
        <f>IF('Catalog Master'!V127&lt;&gt;"","Y","N")</f>
        <v/>
      </c>
      <c r="I127">
        <f>IF(AND('Catalog Master'!Z127&lt;&gt;"",'Catalog Master'!AA127&lt;&gt;"",'Catalog Master'!AB127&lt;&gt;""),"Y","N")</f>
        <v/>
      </c>
      <c r="J127">
        <f>'Catalog Master'!N127</f>
        <v/>
      </c>
      <c r="K127">
        <f>'Catalog Master'!AL127</f>
        <v/>
      </c>
      <c r="L127">
        <f>IF(AND(E127="Y",F127="Y",G127="Y",H127="Y",I127="Y"),"Y","N")</f>
        <v/>
      </c>
    </row>
    <row r="128">
      <c r="A128">
        <f>'Catalog Master'!A128</f>
        <v/>
      </c>
      <c r="B128">
        <f>'Catalog Master'!B128</f>
        <v/>
      </c>
      <c r="C128">
        <f>'Catalog Master'!O128</f>
        <v/>
      </c>
      <c r="D128">
        <f>'Catalog Master'!F128</f>
        <v/>
      </c>
      <c r="E128">
        <f>IF('Catalog Master'!Q128&lt;&gt;"","Y","N")</f>
        <v/>
      </c>
      <c r="F128">
        <f>IF('Catalog Master'!S128&lt;&gt;"","Y","N")</f>
        <v/>
      </c>
      <c r="G128">
        <f>IF('Catalog Master'!X128&lt;&gt;"","Y","N")</f>
        <v/>
      </c>
      <c r="H128">
        <f>IF('Catalog Master'!V128&lt;&gt;"","Y","N")</f>
        <v/>
      </c>
      <c r="I128">
        <f>IF(AND('Catalog Master'!Z128&lt;&gt;"",'Catalog Master'!AA128&lt;&gt;"",'Catalog Master'!AB128&lt;&gt;""),"Y","N")</f>
        <v/>
      </c>
      <c r="J128">
        <f>'Catalog Master'!N128</f>
        <v/>
      </c>
      <c r="K128">
        <f>'Catalog Master'!AL128</f>
        <v/>
      </c>
      <c r="L128">
        <f>IF(AND(E128="Y",F128="Y",G128="Y",H128="Y",I128="Y"),"Y","N")</f>
        <v/>
      </c>
    </row>
    <row r="129">
      <c r="A129">
        <f>'Catalog Master'!A129</f>
        <v/>
      </c>
      <c r="B129">
        <f>'Catalog Master'!B129</f>
        <v/>
      </c>
      <c r="C129">
        <f>'Catalog Master'!O129</f>
        <v/>
      </c>
      <c r="D129">
        <f>'Catalog Master'!F129</f>
        <v/>
      </c>
      <c r="E129">
        <f>IF('Catalog Master'!Q129&lt;&gt;"","Y","N")</f>
        <v/>
      </c>
      <c r="F129">
        <f>IF('Catalog Master'!S129&lt;&gt;"","Y","N")</f>
        <v/>
      </c>
      <c r="G129">
        <f>IF('Catalog Master'!X129&lt;&gt;"","Y","N")</f>
        <v/>
      </c>
      <c r="H129">
        <f>IF('Catalog Master'!V129&lt;&gt;"","Y","N")</f>
        <v/>
      </c>
      <c r="I129">
        <f>IF(AND('Catalog Master'!Z129&lt;&gt;"",'Catalog Master'!AA129&lt;&gt;"",'Catalog Master'!AB129&lt;&gt;""),"Y","N")</f>
        <v/>
      </c>
      <c r="J129">
        <f>'Catalog Master'!N129</f>
        <v/>
      </c>
      <c r="K129">
        <f>'Catalog Master'!AL129</f>
        <v/>
      </c>
      <c r="L129">
        <f>IF(AND(E129="Y",F129="Y",G129="Y",H129="Y",I129="Y"),"Y","N")</f>
        <v/>
      </c>
    </row>
    <row r="130">
      <c r="A130">
        <f>'Catalog Master'!A130</f>
        <v/>
      </c>
      <c r="B130">
        <f>'Catalog Master'!B130</f>
        <v/>
      </c>
      <c r="C130">
        <f>'Catalog Master'!O130</f>
        <v/>
      </c>
      <c r="D130">
        <f>'Catalog Master'!F130</f>
        <v/>
      </c>
      <c r="E130">
        <f>IF('Catalog Master'!Q130&lt;&gt;"","Y","N")</f>
        <v/>
      </c>
      <c r="F130">
        <f>IF('Catalog Master'!S130&lt;&gt;"","Y","N")</f>
        <v/>
      </c>
      <c r="G130">
        <f>IF('Catalog Master'!X130&lt;&gt;"","Y","N")</f>
        <v/>
      </c>
      <c r="H130">
        <f>IF('Catalog Master'!V130&lt;&gt;"","Y","N")</f>
        <v/>
      </c>
      <c r="I130">
        <f>IF(AND('Catalog Master'!Z130&lt;&gt;"",'Catalog Master'!AA130&lt;&gt;"",'Catalog Master'!AB130&lt;&gt;""),"Y","N")</f>
        <v/>
      </c>
      <c r="J130">
        <f>'Catalog Master'!N130</f>
        <v/>
      </c>
      <c r="K130">
        <f>'Catalog Master'!AL130</f>
        <v/>
      </c>
      <c r="L130">
        <f>IF(AND(E130="Y",F130="Y",G130="Y",H130="Y",I130="Y"),"Y","N")</f>
        <v/>
      </c>
    </row>
    <row r="131">
      <c r="A131">
        <f>'Catalog Master'!A131</f>
        <v/>
      </c>
      <c r="B131">
        <f>'Catalog Master'!B131</f>
        <v/>
      </c>
      <c r="C131">
        <f>'Catalog Master'!O131</f>
        <v/>
      </c>
      <c r="D131">
        <f>'Catalog Master'!F131</f>
        <v/>
      </c>
      <c r="E131">
        <f>IF('Catalog Master'!Q131&lt;&gt;"","Y","N")</f>
        <v/>
      </c>
      <c r="F131">
        <f>IF('Catalog Master'!S131&lt;&gt;"","Y","N")</f>
        <v/>
      </c>
      <c r="G131">
        <f>IF('Catalog Master'!X131&lt;&gt;"","Y","N")</f>
        <v/>
      </c>
      <c r="H131">
        <f>IF('Catalog Master'!V131&lt;&gt;"","Y","N")</f>
        <v/>
      </c>
      <c r="I131">
        <f>IF(AND('Catalog Master'!Z131&lt;&gt;"",'Catalog Master'!AA131&lt;&gt;"",'Catalog Master'!AB131&lt;&gt;""),"Y","N")</f>
        <v/>
      </c>
      <c r="J131">
        <f>'Catalog Master'!N131</f>
        <v/>
      </c>
      <c r="K131">
        <f>'Catalog Master'!AL131</f>
        <v/>
      </c>
      <c r="L131">
        <f>IF(AND(E131="Y",F131="Y",G131="Y",H131="Y",I131="Y"),"Y","N")</f>
        <v/>
      </c>
    </row>
    <row r="132">
      <c r="A132">
        <f>'Catalog Master'!A132</f>
        <v/>
      </c>
      <c r="B132">
        <f>'Catalog Master'!B132</f>
        <v/>
      </c>
      <c r="C132">
        <f>'Catalog Master'!O132</f>
        <v/>
      </c>
      <c r="D132">
        <f>'Catalog Master'!F132</f>
        <v/>
      </c>
      <c r="E132">
        <f>IF('Catalog Master'!Q132&lt;&gt;"","Y","N")</f>
        <v/>
      </c>
      <c r="F132">
        <f>IF('Catalog Master'!S132&lt;&gt;"","Y","N")</f>
        <v/>
      </c>
      <c r="G132">
        <f>IF('Catalog Master'!X132&lt;&gt;"","Y","N")</f>
        <v/>
      </c>
      <c r="H132">
        <f>IF('Catalog Master'!V132&lt;&gt;"","Y","N")</f>
        <v/>
      </c>
      <c r="I132">
        <f>IF(AND('Catalog Master'!Z132&lt;&gt;"",'Catalog Master'!AA132&lt;&gt;"",'Catalog Master'!AB132&lt;&gt;""),"Y","N")</f>
        <v/>
      </c>
      <c r="J132">
        <f>'Catalog Master'!N132</f>
        <v/>
      </c>
      <c r="K132">
        <f>'Catalog Master'!AL132</f>
        <v/>
      </c>
      <c r="L132">
        <f>IF(AND(E132="Y",F132="Y",G132="Y",H132="Y",I132="Y"),"Y","N")</f>
        <v/>
      </c>
    </row>
    <row r="133">
      <c r="A133">
        <f>'Catalog Master'!A133</f>
        <v/>
      </c>
      <c r="B133">
        <f>'Catalog Master'!B133</f>
        <v/>
      </c>
      <c r="C133">
        <f>'Catalog Master'!O133</f>
        <v/>
      </c>
      <c r="D133">
        <f>'Catalog Master'!F133</f>
        <v/>
      </c>
      <c r="E133">
        <f>IF('Catalog Master'!Q133&lt;&gt;"","Y","N")</f>
        <v/>
      </c>
      <c r="F133">
        <f>IF('Catalog Master'!S133&lt;&gt;"","Y","N")</f>
        <v/>
      </c>
      <c r="G133">
        <f>IF('Catalog Master'!X133&lt;&gt;"","Y","N")</f>
        <v/>
      </c>
      <c r="H133">
        <f>IF('Catalog Master'!V133&lt;&gt;"","Y","N")</f>
        <v/>
      </c>
      <c r="I133">
        <f>IF(AND('Catalog Master'!Z133&lt;&gt;"",'Catalog Master'!AA133&lt;&gt;"",'Catalog Master'!AB133&lt;&gt;""),"Y","N")</f>
        <v/>
      </c>
      <c r="J133">
        <f>'Catalog Master'!N133</f>
        <v/>
      </c>
      <c r="K133">
        <f>'Catalog Master'!AL133</f>
        <v/>
      </c>
      <c r="L133">
        <f>IF(AND(E133="Y",F133="Y",G133="Y",H133="Y",I133="Y"),"Y","N")</f>
        <v/>
      </c>
    </row>
    <row r="134">
      <c r="A134">
        <f>'Catalog Master'!A134</f>
        <v/>
      </c>
      <c r="B134">
        <f>'Catalog Master'!B134</f>
        <v/>
      </c>
      <c r="C134">
        <f>'Catalog Master'!O134</f>
        <v/>
      </c>
      <c r="D134">
        <f>'Catalog Master'!F134</f>
        <v/>
      </c>
      <c r="E134">
        <f>IF('Catalog Master'!Q134&lt;&gt;"","Y","N")</f>
        <v/>
      </c>
      <c r="F134">
        <f>IF('Catalog Master'!S134&lt;&gt;"","Y","N")</f>
        <v/>
      </c>
      <c r="G134">
        <f>IF('Catalog Master'!X134&lt;&gt;"","Y","N")</f>
        <v/>
      </c>
      <c r="H134">
        <f>IF('Catalog Master'!V134&lt;&gt;"","Y","N")</f>
        <v/>
      </c>
      <c r="I134">
        <f>IF(AND('Catalog Master'!Z134&lt;&gt;"",'Catalog Master'!AA134&lt;&gt;"",'Catalog Master'!AB134&lt;&gt;""),"Y","N")</f>
        <v/>
      </c>
      <c r="J134">
        <f>'Catalog Master'!N134</f>
        <v/>
      </c>
      <c r="K134">
        <f>'Catalog Master'!AL134</f>
        <v/>
      </c>
      <c r="L134">
        <f>IF(AND(E134="Y",F134="Y",G134="Y",H134="Y",I134="Y"),"Y","N")</f>
        <v/>
      </c>
    </row>
    <row r="135">
      <c r="A135">
        <f>'Catalog Master'!A135</f>
        <v/>
      </c>
      <c r="B135">
        <f>'Catalog Master'!B135</f>
        <v/>
      </c>
      <c r="C135">
        <f>'Catalog Master'!O135</f>
        <v/>
      </c>
      <c r="D135">
        <f>'Catalog Master'!F135</f>
        <v/>
      </c>
      <c r="E135">
        <f>IF('Catalog Master'!Q135&lt;&gt;"","Y","N")</f>
        <v/>
      </c>
      <c r="F135">
        <f>IF('Catalog Master'!S135&lt;&gt;"","Y","N")</f>
        <v/>
      </c>
      <c r="G135">
        <f>IF('Catalog Master'!X135&lt;&gt;"","Y","N")</f>
        <v/>
      </c>
      <c r="H135">
        <f>IF('Catalog Master'!V135&lt;&gt;"","Y","N")</f>
        <v/>
      </c>
      <c r="I135">
        <f>IF(AND('Catalog Master'!Z135&lt;&gt;"",'Catalog Master'!AA135&lt;&gt;"",'Catalog Master'!AB135&lt;&gt;""),"Y","N")</f>
        <v/>
      </c>
      <c r="J135">
        <f>'Catalog Master'!N135</f>
        <v/>
      </c>
      <c r="K135">
        <f>'Catalog Master'!AL135</f>
        <v/>
      </c>
      <c r="L135">
        <f>IF(AND(E135="Y",F135="Y",G135="Y",H135="Y",I135="Y"),"Y","N")</f>
        <v/>
      </c>
    </row>
    <row r="136">
      <c r="A136">
        <f>'Catalog Master'!A136</f>
        <v/>
      </c>
      <c r="B136">
        <f>'Catalog Master'!B136</f>
        <v/>
      </c>
      <c r="C136">
        <f>'Catalog Master'!O136</f>
        <v/>
      </c>
      <c r="D136">
        <f>'Catalog Master'!F136</f>
        <v/>
      </c>
      <c r="E136">
        <f>IF('Catalog Master'!Q136&lt;&gt;"","Y","N")</f>
        <v/>
      </c>
      <c r="F136">
        <f>IF('Catalog Master'!S136&lt;&gt;"","Y","N")</f>
        <v/>
      </c>
      <c r="G136">
        <f>IF('Catalog Master'!X136&lt;&gt;"","Y","N")</f>
        <v/>
      </c>
      <c r="H136">
        <f>IF('Catalog Master'!V136&lt;&gt;"","Y","N")</f>
        <v/>
      </c>
      <c r="I136">
        <f>IF(AND('Catalog Master'!Z136&lt;&gt;"",'Catalog Master'!AA136&lt;&gt;"",'Catalog Master'!AB136&lt;&gt;""),"Y","N")</f>
        <v/>
      </c>
      <c r="J136">
        <f>'Catalog Master'!N136</f>
        <v/>
      </c>
      <c r="K136">
        <f>'Catalog Master'!AL136</f>
        <v/>
      </c>
      <c r="L136">
        <f>IF(AND(E136="Y",F136="Y",G136="Y",H136="Y",I136="Y"),"Y","N")</f>
        <v/>
      </c>
    </row>
    <row r="137">
      <c r="A137">
        <f>'Catalog Master'!A137</f>
        <v/>
      </c>
      <c r="B137">
        <f>'Catalog Master'!B137</f>
        <v/>
      </c>
      <c r="C137">
        <f>'Catalog Master'!O137</f>
        <v/>
      </c>
      <c r="D137">
        <f>'Catalog Master'!F137</f>
        <v/>
      </c>
      <c r="E137">
        <f>IF('Catalog Master'!Q137&lt;&gt;"","Y","N")</f>
        <v/>
      </c>
      <c r="F137">
        <f>IF('Catalog Master'!S137&lt;&gt;"","Y","N")</f>
        <v/>
      </c>
      <c r="G137">
        <f>IF('Catalog Master'!X137&lt;&gt;"","Y","N")</f>
        <v/>
      </c>
      <c r="H137">
        <f>IF('Catalog Master'!V137&lt;&gt;"","Y","N")</f>
        <v/>
      </c>
      <c r="I137">
        <f>IF(AND('Catalog Master'!Z137&lt;&gt;"",'Catalog Master'!AA137&lt;&gt;"",'Catalog Master'!AB137&lt;&gt;""),"Y","N")</f>
        <v/>
      </c>
      <c r="J137">
        <f>'Catalog Master'!N137</f>
        <v/>
      </c>
      <c r="K137">
        <f>'Catalog Master'!AL137</f>
        <v/>
      </c>
      <c r="L137">
        <f>IF(AND(E137="Y",F137="Y",G137="Y",H137="Y",I137="Y"),"Y","N")</f>
        <v/>
      </c>
    </row>
    <row r="138">
      <c r="A138">
        <f>'Catalog Master'!A138</f>
        <v/>
      </c>
      <c r="B138">
        <f>'Catalog Master'!B138</f>
        <v/>
      </c>
      <c r="C138">
        <f>'Catalog Master'!O138</f>
        <v/>
      </c>
      <c r="D138">
        <f>'Catalog Master'!F138</f>
        <v/>
      </c>
      <c r="E138">
        <f>IF('Catalog Master'!Q138&lt;&gt;"","Y","N")</f>
        <v/>
      </c>
      <c r="F138">
        <f>IF('Catalog Master'!S138&lt;&gt;"","Y","N")</f>
        <v/>
      </c>
      <c r="G138">
        <f>IF('Catalog Master'!X138&lt;&gt;"","Y","N")</f>
        <v/>
      </c>
      <c r="H138">
        <f>IF('Catalog Master'!V138&lt;&gt;"","Y","N")</f>
        <v/>
      </c>
      <c r="I138">
        <f>IF(AND('Catalog Master'!Z138&lt;&gt;"",'Catalog Master'!AA138&lt;&gt;"",'Catalog Master'!AB138&lt;&gt;""),"Y","N")</f>
        <v/>
      </c>
      <c r="J138">
        <f>'Catalog Master'!N138</f>
        <v/>
      </c>
      <c r="K138">
        <f>'Catalog Master'!AL138</f>
        <v/>
      </c>
      <c r="L138">
        <f>IF(AND(E138="Y",F138="Y",G138="Y",H138="Y",I138="Y"),"Y","N")</f>
        <v/>
      </c>
    </row>
    <row r="139">
      <c r="A139">
        <f>'Catalog Master'!A139</f>
        <v/>
      </c>
      <c r="B139">
        <f>'Catalog Master'!B139</f>
        <v/>
      </c>
      <c r="C139">
        <f>'Catalog Master'!O139</f>
        <v/>
      </c>
      <c r="D139">
        <f>'Catalog Master'!F139</f>
        <v/>
      </c>
      <c r="E139">
        <f>IF('Catalog Master'!Q139&lt;&gt;"","Y","N")</f>
        <v/>
      </c>
      <c r="F139">
        <f>IF('Catalog Master'!S139&lt;&gt;"","Y","N")</f>
        <v/>
      </c>
      <c r="G139">
        <f>IF('Catalog Master'!X139&lt;&gt;"","Y","N")</f>
        <v/>
      </c>
      <c r="H139">
        <f>IF('Catalog Master'!V139&lt;&gt;"","Y","N")</f>
        <v/>
      </c>
      <c r="I139">
        <f>IF(AND('Catalog Master'!Z139&lt;&gt;"",'Catalog Master'!AA139&lt;&gt;"",'Catalog Master'!AB139&lt;&gt;""),"Y","N")</f>
        <v/>
      </c>
      <c r="J139">
        <f>'Catalog Master'!N139</f>
        <v/>
      </c>
      <c r="K139">
        <f>'Catalog Master'!AL139</f>
        <v/>
      </c>
      <c r="L139">
        <f>IF(AND(E139="Y",F139="Y",G139="Y",H139="Y",I139="Y"),"Y","N")</f>
        <v/>
      </c>
    </row>
    <row r="140">
      <c r="A140">
        <f>'Catalog Master'!A140</f>
        <v/>
      </c>
      <c r="B140">
        <f>'Catalog Master'!B140</f>
        <v/>
      </c>
      <c r="C140">
        <f>'Catalog Master'!O140</f>
        <v/>
      </c>
      <c r="D140">
        <f>'Catalog Master'!F140</f>
        <v/>
      </c>
      <c r="E140">
        <f>IF('Catalog Master'!Q140&lt;&gt;"","Y","N")</f>
        <v/>
      </c>
      <c r="F140">
        <f>IF('Catalog Master'!S140&lt;&gt;"","Y","N")</f>
        <v/>
      </c>
      <c r="G140">
        <f>IF('Catalog Master'!X140&lt;&gt;"","Y","N")</f>
        <v/>
      </c>
      <c r="H140">
        <f>IF('Catalog Master'!V140&lt;&gt;"","Y","N")</f>
        <v/>
      </c>
      <c r="I140">
        <f>IF(AND('Catalog Master'!Z140&lt;&gt;"",'Catalog Master'!AA140&lt;&gt;"",'Catalog Master'!AB140&lt;&gt;""),"Y","N")</f>
        <v/>
      </c>
      <c r="J140">
        <f>'Catalog Master'!N140</f>
        <v/>
      </c>
      <c r="K140">
        <f>'Catalog Master'!AL140</f>
        <v/>
      </c>
      <c r="L140">
        <f>IF(AND(E140="Y",F140="Y",G140="Y",H140="Y",I140="Y"),"Y","N")</f>
        <v/>
      </c>
    </row>
    <row r="141">
      <c r="A141">
        <f>'Catalog Master'!A141</f>
        <v/>
      </c>
      <c r="B141">
        <f>'Catalog Master'!B141</f>
        <v/>
      </c>
      <c r="C141">
        <f>'Catalog Master'!O141</f>
        <v/>
      </c>
      <c r="D141">
        <f>'Catalog Master'!F141</f>
        <v/>
      </c>
      <c r="E141">
        <f>IF('Catalog Master'!Q141&lt;&gt;"","Y","N")</f>
        <v/>
      </c>
      <c r="F141">
        <f>IF('Catalog Master'!S141&lt;&gt;"","Y","N")</f>
        <v/>
      </c>
      <c r="G141">
        <f>IF('Catalog Master'!X141&lt;&gt;"","Y","N")</f>
        <v/>
      </c>
      <c r="H141">
        <f>IF('Catalog Master'!V141&lt;&gt;"","Y","N")</f>
        <v/>
      </c>
      <c r="I141">
        <f>IF(AND('Catalog Master'!Z141&lt;&gt;"",'Catalog Master'!AA141&lt;&gt;"",'Catalog Master'!AB141&lt;&gt;""),"Y","N")</f>
        <v/>
      </c>
      <c r="J141">
        <f>'Catalog Master'!N141</f>
        <v/>
      </c>
      <c r="K141">
        <f>'Catalog Master'!AL141</f>
        <v/>
      </c>
      <c r="L141">
        <f>IF(AND(E141="Y",F141="Y",G141="Y",H141="Y",I141="Y"),"Y","N")</f>
        <v/>
      </c>
    </row>
    <row r="142">
      <c r="A142">
        <f>'Catalog Master'!A142</f>
        <v/>
      </c>
      <c r="B142">
        <f>'Catalog Master'!B142</f>
        <v/>
      </c>
      <c r="C142">
        <f>'Catalog Master'!O142</f>
        <v/>
      </c>
      <c r="D142">
        <f>'Catalog Master'!F142</f>
        <v/>
      </c>
      <c r="E142">
        <f>IF('Catalog Master'!Q142&lt;&gt;"","Y","N")</f>
        <v/>
      </c>
      <c r="F142">
        <f>IF('Catalog Master'!S142&lt;&gt;"","Y","N")</f>
        <v/>
      </c>
      <c r="G142">
        <f>IF('Catalog Master'!X142&lt;&gt;"","Y","N")</f>
        <v/>
      </c>
      <c r="H142">
        <f>IF('Catalog Master'!V142&lt;&gt;"","Y","N")</f>
        <v/>
      </c>
      <c r="I142">
        <f>IF(AND('Catalog Master'!Z142&lt;&gt;"",'Catalog Master'!AA142&lt;&gt;"",'Catalog Master'!AB142&lt;&gt;""),"Y","N")</f>
        <v/>
      </c>
      <c r="J142">
        <f>'Catalog Master'!N142</f>
        <v/>
      </c>
      <c r="K142">
        <f>'Catalog Master'!AL142</f>
        <v/>
      </c>
      <c r="L142">
        <f>IF(AND(E142="Y",F142="Y",G142="Y",H142="Y",I142="Y"),"Y","N")</f>
        <v/>
      </c>
    </row>
    <row r="143">
      <c r="A143">
        <f>'Catalog Master'!A143</f>
        <v/>
      </c>
      <c r="B143">
        <f>'Catalog Master'!B143</f>
        <v/>
      </c>
      <c r="C143">
        <f>'Catalog Master'!O143</f>
        <v/>
      </c>
      <c r="D143">
        <f>'Catalog Master'!F143</f>
        <v/>
      </c>
      <c r="E143">
        <f>IF('Catalog Master'!Q143&lt;&gt;"","Y","N")</f>
        <v/>
      </c>
      <c r="F143">
        <f>IF('Catalog Master'!S143&lt;&gt;"","Y","N")</f>
        <v/>
      </c>
      <c r="G143">
        <f>IF('Catalog Master'!X143&lt;&gt;"","Y","N")</f>
        <v/>
      </c>
      <c r="H143">
        <f>IF('Catalog Master'!V143&lt;&gt;"","Y","N")</f>
        <v/>
      </c>
      <c r="I143">
        <f>IF(AND('Catalog Master'!Z143&lt;&gt;"",'Catalog Master'!AA143&lt;&gt;"",'Catalog Master'!AB143&lt;&gt;""),"Y","N")</f>
        <v/>
      </c>
      <c r="J143">
        <f>'Catalog Master'!N143</f>
        <v/>
      </c>
      <c r="K143">
        <f>'Catalog Master'!AL143</f>
        <v/>
      </c>
      <c r="L143">
        <f>IF(AND(E143="Y",F143="Y",G143="Y",H143="Y",I143="Y"),"Y","N")</f>
        <v/>
      </c>
    </row>
    <row r="144">
      <c r="A144">
        <f>'Catalog Master'!A144</f>
        <v/>
      </c>
      <c r="B144">
        <f>'Catalog Master'!B144</f>
        <v/>
      </c>
      <c r="C144">
        <f>'Catalog Master'!O144</f>
        <v/>
      </c>
      <c r="D144">
        <f>'Catalog Master'!F144</f>
        <v/>
      </c>
      <c r="E144">
        <f>IF('Catalog Master'!Q144&lt;&gt;"","Y","N")</f>
        <v/>
      </c>
      <c r="F144">
        <f>IF('Catalog Master'!S144&lt;&gt;"","Y","N")</f>
        <v/>
      </c>
      <c r="G144">
        <f>IF('Catalog Master'!X144&lt;&gt;"","Y","N")</f>
        <v/>
      </c>
      <c r="H144">
        <f>IF('Catalog Master'!V144&lt;&gt;"","Y","N")</f>
        <v/>
      </c>
      <c r="I144">
        <f>IF(AND('Catalog Master'!Z144&lt;&gt;"",'Catalog Master'!AA144&lt;&gt;"",'Catalog Master'!AB144&lt;&gt;""),"Y","N")</f>
        <v/>
      </c>
      <c r="J144">
        <f>'Catalog Master'!N144</f>
        <v/>
      </c>
      <c r="K144">
        <f>'Catalog Master'!AL144</f>
        <v/>
      </c>
      <c r="L144">
        <f>IF(AND(E144="Y",F144="Y",G144="Y",H144="Y",I144="Y"),"Y","N")</f>
        <v/>
      </c>
    </row>
    <row r="145">
      <c r="A145">
        <f>'Catalog Master'!A145</f>
        <v/>
      </c>
      <c r="B145">
        <f>'Catalog Master'!B145</f>
        <v/>
      </c>
      <c r="C145">
        <f>'Catalog Master'!O145</f>
        <v/>
      </c>
      <c r="D145">
        <f>'Catalog Master'!F145</f>
        <v/>
      </c>
      <c r="E145">
        <f>IF('Catalog Master'!Q145&lt;&gt;"","Y","N")</f>
        <v/>
      </c>
      <c r="F145">
        <f>IF('Catalog Master'!S145&lt;&gt;"","Y","N")</f>
        <v/>
      </c>
      <c r="G145">
        <f>IF('Catalog Master'!X145&lt;&gt;"","Y","N")</f>
        <v/>
      </c>
      <c r="H145">
        <f>IF('Catalog Master'!V145&lt;&gt;"","Y","N")</f>
        <v/>
      </c>
      <c r="I145">
        <f>IF(AND('Catalog Master'!Z145&lt;&gt;"",'Catalog Master'!AA145&lt;&gt;"",'Catalog Master'!AB145&lt;&gt;""),"Y","N")</f>
        <v/>
      </c>
      <c r="J145">
        <f>'Catalog Master'!N145</f>
        <v/>
      </c>
      <c r="K145">
        <f>'Catalog Master'!AL145</f>
        <v/>
      </c>
      <c r="L145">
        <f>IF(AND(E145="Y",F145="Y",G145="Y",H145="Y",I145="Y"),"Y","N")</f>
        <v/>
      </c>
    </row>
    <row r="146">
      <c r="A146">
        <f>'Catalog Master'!A146</f>
        <v/>
      </c>
      <c r="B146">
        <f>'Catalog Master'!B146</f>
        <v/>
      </c>
      <c r="C146">
        <f>'Catalog Master'!O146</f>
        <v/>
      </c>
      <c r="D146">
        <f>'Catalog Master'!F146</f>
        <v/>
      </c>
      <c r="E146">
        <f>IF('Catalog Master'!Q146&lt;&gt;"","Y","N")</f>
        <v/>
      </c>
      <c r="F146">
        <f>IF('Catalog Master'!S146&lt;&gt;"","Y","N")</f>
        <v/>
      </c>
      <c r="G146">
        <f>IF('Catalog Master'!X146&lt;&gt;"","Y","N")</f>
        <v/>
      </c>
      <c r="H146">
        <f>IF('Catalog Master'!V146&lt;&gt;"","Y","N")</f>
        <v/>
      </c>
      <c r="I146">
        <f>IF(AND('Catalog Master'!Z146&lt;&gt;"",'Catalog Master'!AA146&lt;&gt;"",'Catalog Master'!AB146&lt;&gt;""),"Y","N")</f>
        <v/>
      </c>
      <c r="J146">
        <f>'Catalog Master'!N146</f>
        <v/>
      </c>
      <c r="K146">
        <f>'Catalog Master'!AL146</f>
        <v/>
      </c>
      <c r="L146">
        <f>IF(AND(E146="Y",F146="Y",G146="Y",H146="Y",I146="Y"),"Y","N")</f>
        <v/>
      </c>
    </row>
    <row r="147">
      <c r="A147">
        <f>'Catalog Master'!A147</f>
        <v/>
      </c>
      <c r="B147">
        <f>'Catalog Master'!B147</f>
        <v/>
      </c>
      <c r="C147">
        <f>'Catalog Master'!O147</f>
        <v/>
      </c>
      <c r="D147">
        <f>'Catalog Master'!F147</f>
        <v/>
      </c>
      <c r="E147">
        <f>IF('Catalog Master'!Q147&lt;&gt;"","Y","N")</f>
        <v/>
      </c>
      <c r="F147">
        <f>IF('Catalog Master'!S147&lt;&gt;"","Y","N")</f>
        <v/>
      </c>
      <c r="G147">
        <f>IF('Catalog Master'!X147&lt;&gt;"","Y","N")</f>
        <v/>
      </c>
      <c r="H147">
        <f>IF('Catalog Master'!V147&lt;&gt;"","Y","N")</f>
        <v/>
      </c>
      <c r="I147">
        <f>IF(AND('Catalog Master'!Z147&lt;&gt;"",'Catalog Master'!AA147&lt;&gt;"",'Catalog Master'!AB147&lt;&gt;""),"Y","N")</f>
        <v/>
      </c>
      <c r="J147">
        <f>'Catalog Master'!N147</f>
        <v/>
      </c>
      <c r="K147">
        <f>'Catalog Master'!AL147</f>
        <v/>
      </c>
      <c r="L147">
        <f>IF(AND(E147="Y",F147="Y",G147="Y",H147="Y",I147="Y"),"Y","N")</f>
        <v/>
      </c>
    </row>
    <row r="148">
      <c r="A148">
        <f>'Catalog Master'!A148</f>
        <v/>
      </c>
      <c r="B148">
        <f>'Catalog Master'!B148</f>
        <v/>
      </c>
      <c r="C148">
        <f>'Catalog Master'!O148</f>
        <v/>
      </c>
      <c r="D148">
        <f>'Catalog Master'!F148</f>
        <v/>
      </c>
      <c r="E148">
        <f>IF('Catalog Master'!Q148&lt;&gt;"","Y","N")</f>
        <v/>
      </c>
      <c r="F148">
        <f>IF('Catalog Master'!S148&lt;&gt;"","Y","N")</f>
        <v/>
      </c>
      <c r="G148">
        <f>IF('Catalog Master'!X148&lt;&gt;"","Y","N")</f>
        <v/>
      </c>
      <c r="H148">
        <f>IF('Catalog Master'!V148&lt;&gt;"","Y","N")</f>
        <v/>
      </c>
      <c r="I148">
        <f>IF(AND('Catalog Master'!Z148&lt;&gt;"",'Catalog Master'!AA148&lt;&gt;"",'Catalog Master'!AB148&lt;&gt;""),"Y","N")</f>
        <v/>
      </c>
      <c r="J148">
        <f>'Catalog Master'!N148</f>
        <v/>
      </c>
      <c r="K148">
        <f>'Catalog Master'!AL148</f>
        <v/>
      </c>
      <c r="L148">
        <f>IF(AND(E148="Y",F148="Y",G148="Y",H148="Y",I148="Y"),"Y","N")</f>
        <v/>
      </c>
    </row>
    <row r="149">
      <c r="A149">
        <f>'Catalog Master'!A149</f>
        <v/>
      </c>
      <c r="B149">
        <f>'Catalog Master'!B149</f>
        <v/>
      </c>
      <c r="C149">
        <f>'Catalog Master'!O149</f>
        <v/>
      </c>
      <c r="D149">
        <f>'Catalog Master'!F149</f>
        <v/>
      </c>
      <c r="E149">
        <f>IF('Catalog Master'!Q149&lt;&gt;"","Y","N")</f>
        <v/>
      </c>
      <c r="F149">
        <f>IF('Catalog Master'!S149&lt;&gt;"","Y","N")</f>
        <v/>
      </c>
      <c r="G149">
        <f>IF('Catalog Master'!X149&lt;&gt;"","Y","N")</f>
        <v/>
      </c>
      <c r="H149">
        <f>IF('Catalog Master'!V149&lt;&gt;"","Y","N")</f>
        <v/>
      </c>
      <c r="I149">
        <f>IF(AND('Catalog Master'!Z149&lt;&gt;"",'Catalog Master'!AA149&lt;&gt;"",'Catalog Master'!AB149&lt;&gt;""),"Y","N")</f>
        <v/>
      </c>
      <c r="J149">
        <f>'Catalog Master'!N149</f>
        <v/>
      </c>
      <c r="K149">
        <f>'Catalog Master'!AL149</f>
        <v/>
      </c>
      <c r="L149">
        <f>IF(AND(E149="Y",F149="Y",G149="Y",H149="Y",I149="Y"),"Y","N")</f>
        <v/>
      </c>
    </row>
    <row r="150">
      <c r="A150">
        <f>'Catalog Master'!A150</f>
        <v/>
      </c>
      <c r="B150">
        <f>'Catalog Master'!B150</f>
        <v/>
      </c>
      <c r="C150">
        <f>'Catalog Master'!O150</f>
        <v/>
      </c>
      <c r="D150">
        <f>'Catalog Master'!F150</f>
        <v/>
      </c>
      <c r="E150">
        <f>IF('Catalog Master'!Q150&lt;&gt;"","Y","N")</f>
        <v/>
      </c>
      <c r="F150">
        <f>IF('Catalog Master'!S150&lt;&gt;"","Y","N")</f>
        <v/>
      </c>
      <c r="G150">
        <f>IF('Catalog Master'!X150&lt;&gt;"","Y","N")</f>
        <v/>
      </c>
      <c r="H150">
        <f>IF('Catalog Master'!V150&lt;&gt;"","Y","N")</f>
        <v/>
      </c>
      <c r="I150">
        <f>IF(AND('Catalog Master'!Z150&lt;&gt;"",'Catalog Master'!AA150&lt;&gt;"",'Catalog Master'!AB150&lt;&gt;""),"Y","N")</f>
        <v/>
      </c>
      <c r="J150">
        <f>'Catalog Master'!N150</f>
        <v/>
      </c>
      <c r="K150">
        <f>'Catalog Master'!AL150</f>
        <v/>
      </c>
      <c r="L150">
        <f>IF(AND(E150="Y",F150="Y",G150="Y",H150="Y",I150="Y"),"Y","N")</f>
        <v/>
      </c>
    </row>
    <row r="151">
      <c r="A151">
        <f>'Catalog Master'!A151</f>
        <v/>
      </c>
      <c r="B151">
        <f>'Catalog Master'!B151</f>
        <v/>
      </c>
      <c r="C151">
        <f>'Catalog Master'!O151</f>
        <v/>
      </c>
      <c r="D151">
        <f>'Catalog Master'!F151</f>
        <v/>
      </c>
      <c r="E151">
        <f>IF('Catalog Master'!Q151&lt;&gt;"","Y","N")</f>
        <v/>
      </c>
      <c r="F151">
        <f>IF('Catalog Master'!S151&lt;&gt;"","Y","N")</f>
        <v/>
      </c>
      <c r="G151">
        <f>IF('Catalog Master'!X151&lt;&gt;"","Y","N")</f>
        <v/>
      </c>
      <c r="H151">
        <f>IF('Catalog Master'!V151&lt;&gt;"","Y","N")</f>
        <v/>
      </c>
      <c r="I151">
        <f>IF(AND('Catalog Master'!Z151&lt;&gt;"",'Catalog Master'!AA151&lt;&gt;"",'Catalog Master'!AB151&lt;&gt;""),"Y","N")</f>
        <v/>
      </c>
      <c r="J151">
        <f>'Catalog Master'!N151</f>
        <v/>
      </c>
      <c r="K151">
        <f>'Catalog Master'!AL151</f>
        <v/>
      </c>
      <c r="L151">
        <f>IF(AND(E151="Y",F151="Y",G151="Y",H151="Y",I151="Y"),"Y","N")</f>
        <v/>
      </c>
    </row>
    <row r="152">
      <c r="A152">
        <f>'Catalog Master'!A152</f>
        <v/>
      </c>
      <c r="B152">
        <f>'Catalog Master'!B152</f>
        <v/>
      </c>
      <c r="C152">
        <f>'Catalog Master'!O152</f>
        <v/>
      </c>
      <c r="D152">
        <f>'Catalog Master'!F152</f>
        <v/>
      </c>
      <c r="E152">
        <f>IF('Catalog Master'!Q152&lt;&gt;"","Y","N")</f>
        <v/>
      </c>
      <c r="F152">
        <f>IF('Catalog Master'!S152&lt;&gt;"","Y","N")</f>
        <v/>
      </c>
      <c r="G152">
        <f>IF('Catalog Master'!X152&lt;&gt;"","Y","N")</f>
        <v/>
      </c>
      <c r="H152">
        <f>IF('Catalog Master'!V152&lt;&gt;"","Y","N")</f>
        <v/>
      </c>
      <c r="I152">
        <f>IF(AND('Catalog Master'!Z152&lt;&gt;"",'Catalog Master'!AA152&lt;&gt;"",'Catalog Master'!AB152&lt;&gt;""),"Y","N")</f>
        <v/>
      </c>
      <c r="J152">
        <f>'Catalog Master'!N152</f>
        <v/>
      </c>
      <c r="K152">
        <f>'Catalog Master'!AL152</f>
        <v/>
      </c>
      <c r="L152">
        <f>IF(AND(E152="Y",F152="Y",G152="Y",H152="Y",I152="Y"),"Y","N")</f>
        <v/>
      </c>
    </row>
    <row r="153">
      <c r="A153">
        <f>'Catalog Master'!A153</f>
        <v/>
      </c>
      <c r="B153">
        <f>'Catalog Master'!B153</f>
        <v/>
      </c>
      <c r="C153">
        <f>'Catalog Master'!O153</f>
        <v/>
      </c>
      <c r="D153">
        <f>'Catalog Master'!F153</f>
        <v/>
      </c>
      <c r="E153">
        <f>IF('Catalog Master'!Q153&lt;&gt;"","Y","N")</f>
        <v/>
      </c>
      <c r="F153">
        <f>IF('Catalog Master'!S153&lt;&gt;"","Y","N")</f>
        <v/>
      </c>
      <c r="G153">
        <f>IF('Catalog Master'!X153&lt;&gt;"","Y","N")</f>
        <v/>
      </c>
      <c r="H153">
        <f>IF('Catalog Master'!V153&lt;&gt;"","Y","N")</f>
        <v/>
      </c>
      <c r="I153">
        <f>IF(AND('Catalog Master'!Z153&lt;&gt;"",'Catalog Master'!AA153&lt;&gt;"",'Catalog Master'!AB153&lt;&gt;""),"Y","N")</f>
        <v/>
      </c>
      <c r="J153">
        <f>'Catalog Master'!N153</f>
        <v/>
      </c>
      <c r="K153">
        <f>'Catalog Master'!AL153</f>
        <v/>
      </c>
      <c r="L153">
        <f>IF(AND(E153="Y",F153="Y",G153="Y",H153="Y",I153="Y"),"Y","N")</f>
        <v/>
      </c>
    </row>
    <row r="154">
      <c r="A154">
        <f>'Catalog Master'!A154</f>
        <v/>
      </c>
      <c r="B154">
        <f>'Catalog Master'!B154</f>
        <v/>
      </c>
      <c r="C154">
        <f>'Catalog Master'!O154</f>
        <v/>
      </c>
      <c r="D154">
        <f>'Catalog Master'!F154</f>
        <v/>
      </c>
      <c r="E154">
        <f>IF('Catalog Master'!Q154&lt;&gt;"","Y","N")</f>
        <v/>
      </c>
      <c r="F154">
        <f>IF('Catalog Master'!S154&lt;&gt;"","Y","N")</f>
        <v/>
      </c>
      <c r="G154">
        <f>IF('Catalog Master'!X154&lt;&gt;"","Y","N")</f>
        <v/>
      </c>
      <c r="H154">
        <f>IF('Catalog Master'!V154&lt;&gt;"","Y","N")</f>
        <v/>
      </c>
      <c r="I154">
        <f>IF(AND('Catalog Master'!Z154&lt;&gt;"",'Catalog Master'!AA154&lt;&gt;"",'Catalog Master'!AB154&lt;&gt;""),"Y","N")</f>
        <v/>
      </c>
      <c r="J154">
        <f>'Catalog Master'!N154</f>
        <v/>
      </c>
      <c r="K154">
        <f>'Catalog Master'!AL154</f>
        <v/>
      </c>
      <c r="L154">
        <f>IF(AND(E154="Y",F154="Y",G154="Y",H154="Y",I154="Y"),"Y","N")</f>
        <v/>
      </c>
    </row>
    <row r="155">
      <c r="A155">
        <f>'Catalog Master'!A155</f>
        <v/>
      </c>
      <c r="B155">
        <f>'Catalog Master'!B155</f>
        <v/>
      </c>
      <c r="C155">
        <f>'Catalog Master'!O155</f>
        <v/>
      </c>
      <c r="D155">
        <f>'Catalog Master'!F155</f>
        <v/>
      </c>
      <c r="E155">
        <f>IF('Catalog Master'!Q155&lt;&gt;"","Y","N")</f>
        <v/>
      </c>
      <c r="F155">
        <f>IF('Catalog Master'!S155&lt;&gt;"","Y","N")</f>
        <v/>
      </c>
      <c r="G155">
        <f>IF('Catalog Master'!X155&lt;&gt;"","Y","N")</f>
        <v/>
      </c>
      <c r="H155">
        <f>IF('Catalog Master'!V155&lt;&gt;"","Y","N")</f>
        <v/>
      </c>
      <c r="I155">
        <f>IF(AND('Catalog Master'!Z155&lt;&gt;"",'Catalog Master'!AA155&lt;&gt;"",'Catalog Master'!AB155&lt;&gt;""),"Y","N")</f>
        <v/>
      </c>
      <c r="J155">
        <f>'Catalog Master'!N155</f>
        <v/>
      </c>
      <c r="K155">
        <f>'Catalog Master'!AL155</f>
        <v/>
      </c>
      <c r="L155">
        <f>IF(AND(E155="Y",F155="Y",G155="Y",H155="Y",I155="Y"),"Y","N")</f>
        <v/>
      </c>
    </row>
    <row r="156">
      <c r="A156">
        <f>'Catalog Master'!A156</f>
        <v/>
      </c>
      <c r="B156">
        <f>'Catalog Master'!B156</f>
        <v/>
      </c>
      <c r="C156">
        <f>'Catalog Master'!O156</f>
        <v/>
      </c>
      <c r="D156">
        <f>'Catalog Master'!F156</f>
        <v/>
      </c>
      <c r="E156">
        <f>IF('Catalog Master'!Q156&lt;&gt;"","Y","N")</f>
        <v/>
      </c>
      <c r="F156">
        <f>IF('Catalog Master'!S156&lt;&gt;"","Y","N")</f>
        <v/>
      </c>
      <c r="G156">
        <f>IF('Catalog Master'!X156&lt;&gt;"","Y","N")</f>
        <v/>
      </c>
      <c r="H156">
        <f>IF('Catalog Master'!V156&lt;&gt;"","Y","N")</f>
        <v/>
      </c>
      <c r="I156">
        <f>IF(AND('Catalog Master'!Z156&lt;&gt;"",'Catalog Master'!AA156&lt;&gt;"",'Catalog Master'!AB156&lt;&gt;""),"Y","N")</f>
        <v/>
      </c>
      <c r="J156">
        <f>'Catalog Master'!N156</f>
        <v/>
      </c>
      <c r="K156">
        <f>'Catalog Master'!AL156</f>
        <v/>
      </c>
      <c r="L156">
        <f>IF(AND(E156="Y",F156="Y",G156="Y",H156="Y",I156="Y"),"Y","N")</f>
        <v/>
      </c>
    </row>
    <row r="157">
      <c r="A157">
        <f>'Catalog Master'!A157</f>
        <v/>
      </c>
      <c r="B157">
        <f>'Catalog Master'!B157</f>
        <v/>
      </c>
      <c r="C157">
        <f>'Catalog Master'!O157</f>
        <v/>
      </c>
      <c r="D157">
        <f>'Catalog Master'!F157</f>
        <v/>
      </c>
      <c r="E157">
        <f>IF('Catalog Master'!Q157&lt;&gt;"","Y","N")</f>
        <v/>
      </c>
      <c r="F157">
        <f>IF('Catalog Master'!S157&lt;&gt;"","Y","N")</f>
        <v/>
      </c>
      <c r="G157">
        <f>IF('Catalog Master'!X157&lt;&gt;"","Y","N")</f>
        <v/>
      </c>
      <c r="H157">
        <f>IF('Catalog Master'!V157&lt;&gt;"","Y","N")</f>
        <v/>
      </c>
      <c r="I157">
        <f>IF(AND('Catalog Master'!Z157&lt;&gt;"",'Catalog Master'!AA157&lt;&gt;"",'Catalog Master'!AB157&lt;&gt;""),"Y","N")</f>
        <v/>
      </c>
      <c r="J157">
        <f>'Catalog Master'!N157</f>
        <v/>
      </c>
      <c r="K157">
        <f>'Catalog Master'!AL157</f>
        <v/>
      </c>
      <c r="L157">
        <f>IF(AND(E157="Y",F157="Y",G157="Y",H157="Y",I157="Y"),"Y","N")</f>
        <v/>
      </c>
    </row>
    <row r="158">
      <c r="A158">
        <f>'Catalog Master'!A158</f>
        <v/>
      </c>
      <c r="B158">
        <f>'Catalog Master'!B158</f>
        <v/>
      </c>
      <c r="C158">
        <f>'Catalog Master'!O158</f>
        <v/>
      </c>
      <c r="D158">
        <f>'Catalog Master'!F158</f>
        <v/>
      </c>
      <c r="E158">
        <f>IF('Catalog Master'!Q158&lt;&gt;"","Y","N")</f>
        <v/>
      </c>
      <c r="F158">
        <f>IF('Catalog Master'!S158&lt;&gt;"","Y","N")</f>
        <v/>
      </c>
      <c r="G158">
        <f>IF('Catalog Master'!X158&lt;&gt;"","Y","N")</f>
        <v/>
      </c>
      <c r="H158">
        <f>IF('Catalog Master'!V158&lt;&gt;"","Y","N")</f>
        <v/>
      </c>
      <c r="I158">
        <f>IF(AND('Catalog Master'!Z158&lt;&gt;"",'Catalog Master'!AA158&lt;&gt;"",'Catalog Master'!AB158&lt;&gt;""),"Y","N")</f>
        <v/>
      </c>
      <c r="J158">
        <f>'Catalog Master'!N158</f>
        <v/>
      </c>
      <c r="K158">
        <f>'Catalog Master'!AL158</f>
        <v/>
      </c>
      <c r="L158">
        <f>IF(AND(E158="Y",F158="Y",G158="Y",H158="Y",I158="Y"),"Y","N")</f>
        <v/>
      </c>
    </row>
    <row r="159">
      <c r="A159">
        <f>'Catalog Master'!A159</f>
        <v/>
      </c>
      <c r="B159">
        <f>'Catalog Master'!B159</f>
        <v/>
      </c>
      <c r="C159">
        <f>'Catalog Master'!O159</f>
        <v/>
      </c>
      <c r="D159">
        <f>'Catalog Master'!F159</f>
        <v/>
      </c>
      <c r="E159">
        <f>IF('Catalog Master'!Q159&lt;&gt;"","Y","N")</f>
        <v/>
      </c>
      <c r="F159">
        <f>IF('Catalog Master'!S159&lt;&gt;"","Y","N")</f>
        <v/>
      </c>
      <c r="G159">
        <f>IF('Catalog Master'!X159&lt;&gt;"","Y","N")</f>
        <v/>
      </c>
      <c r="H159">
        <f>IF('Catalog Master'!V159&lt;&gt;"","Y","N")</f>
        <v/>
      </c>
      <c r="I159">
        <f>IF(AND('Catalog Master'!Z159&lt;&gt;"",'Catalog Master'!AA159&lt;&gt;"",'Catalog Master'!AB159&lt;&gt;""),"Y","N")</f>
        <v/>
      </c>
      <c r="J159">
        <f>'Catalog Master'!N159</f>
        <v/>
      </c>
      <c r="K159">
        <f>'Catalog Master'!AL159</f>
        <v/>
      </c>
      <c r="L159">
        <f>IF(AND(E159="Y",F159="Y",G159="Y",H159="Y",I159="Y"),"Y","N")</f>
        <v/>
      </c>
    </row>
    <row r="160">
      <c r="A160">
        <f>'Catalog Master'!A160</f>
        <v/>
      </c>
      <c r="B160">
        <f>'Catalog Master'!B160</f>
        <v/>
      </c>
      <c r="C160">
        <f>'Catalog Master'!O160</f>
        <v/>
      </c>
      <c r="D160">
        <f>'Catalog Master'!F160</f>
        <v/>
      </c>
      <c r="E160">
        <f>IF('Catalog Master'!Q160&lt;&gt;"","Y","N")</f>
        <v/>
      </c>
      <c r="F160">
        <f>IF('Catalog Master'!S160&lt;&gt;"","Y","N")</f>
        <v/>
      </c>
      <c r="G160">
        <f>IF('Catalog Master'!X160&lt;&gt;"","Y","N")</f>
        <v/>
      </c>
      <c r="H160">
        <f>IF('Catalog Master'!V160&lt;&gt;"","Y","N")</f>
        <v/>
      </c>
      <c r="I160">
        <f>IF(AND('Catalog Master'!Z160&lt;&gt;"",'Catalog Master'!AA160&lt;&gt;"",'Catalog Master'!AB160&lt;&gt;""),"Y","N")</f>
        <v/>
      </c>
      <c r="J160">
        <f>'Catalog Master'!N160</f>
        <v/>
      </c>
      <c r="K160">
        <f>'Catalog Master'!AL160</f>
        <v/>
      </c>
      <c r="L160">
        <f>IF(AND(E160="Y",F160="Y",G160="Y",H160="Y",I160="Y"),"Y","N")</f>
        <v/>
      </c>
    </row>
    <row r="161">
      <c r="A161">
        <f>'Catalog Master'!A161</f>
        <v/>
      </c>
      <c r="B161">
        <f>'Catalog Master'!B161</f>
        <v/>
      </c>
      <c r="C161">
        <f>'Catalog Master'!O161</f>
        <v/>
      </c>
      <c r="D161">
        <f>'Catalog Master'!F161</f>
        <v/>
      </c>
      <c r="E161">
        <f>IF('Catalog Master'!Q161&lt;&gt;"","Y","N")</f>
        <v/>
      </c>
      <c r="F161">
        <f>IF('Catalog Master'!S161&lt;&gt;"","Y","N")</f>
        <v/>
      </c>
      <c r="G161">
        <f>IF('Catalog Master'!X161&lt;&gt;"","Y","N")</f>
        <v/>
      </c>
      <c r="H161">
        <f>IF('Catalog Master'!V161&lt;&gt;"","Y","N")</f>
        <v/>
      </c>
      <c r="I161">
        <f>IF(AND('Catalog Master'!Z161&lt;&gt;"",'Catalog Master'!AA161&lt;&gt;"",'Catalog Master'!AB161&lt;&gt;""),"Y","N")</f>
        <v/>
      </c>
      <c r="J161">
        <f>'Catalog Master'!N161</f>
        <v/>
      </c>
      <c r="K161">
        <f>'Catalog Master'!AL161</f>
        <v/>
      </c>
      <c r="L161">
        <f>IF(AND(E161="Y",F161="Y",G161="Y",H161="Y",I161="Y"),"Y","N")</f>
        <v/>
      </c>
    </row>
    <row r="162">
      <c r="A162">
        <f>'Catalog Master'!A162</f>
        <v/>
      </c>
      <c r="B162">
        <f>'Catalog Master'!B162</f>
        <v/>
      </c>
      <c r="C162">
        <f>'Catalog Master'!O162</f>
        <v/>
      </c>
      <c r="D162">
        <f>'Catalog Master'!F162</f>
        <v/>
      </c>
      <c r="E162">
        <f>IF('Catalog Master'!Q162&lt;&gt;"","Y","N")</f>
        <v/>
      </c>
      <c r="F162">
        <f>IF('Catalog Master'!S162&lt;&gt;"","Y","N")</f>
        <v/>
      </c>
      <c r="G162">
        <f>IF('Catalog Master'!X162&lt;&gt;"","Y","N")</f>
        <v/>
      </c>
      <c r="H162">
        <f>IF('Catalog Master'!V162&lt;&gt;"","Y","N")</f>
        <v/>
      </c>
      <c r="I162">
        <f>IF(AND('Catalog Master'!Z162&lt;&gt;"",'Catalog Master'!AA162&lt;&gt;"",'Catalog Master'!AB162&lt;&gt;""),"Y","N")</f>
        <v/>
      </c>
      <c r="J162">
        <f>'Catalog Master'!N162</f>
        <v/>
      </c>
      <c r="K162">
        <f>'Catalog Master'!AL162</f>
        <v/>
      </c>
      <c r="L162">
        <f>IF(AND(E162="Y",F162="Y",G162="Y",H162="Y",I162="Y"),"Y","N")</f>
        <v/>
      </c>
    </row>
    <row r="163">
      <c r="A163">
        <f>'Catalog Master'!A163</f>
        <v/>
      </c>
      <c r="B163">
        <f>'Catalog Master'!B163</f>
        <v/>
      </c>
      <c r="C163">
        <f>'Catalog Master'!O163</f>
        <v/>
      </c>
      <c r="D163">
        <f>'Catalog Master'!F163</f>
        <v/>
      </c>
      <c r="E163">
        <f>IF('Catalog Master'!Q163&lt;&gt;"","Y","N")</f>
        <v/>
      </c>
      <c r="F163">
        <f>IF('Catalog Master'!S163&lt;&gt;"","Y","N")</f>
        <v/>
      </c>
      <c r="G163">
        <f>IF('Catalog Master'!X163&lt;&gt;"","Y","N")</f>
        <v/>
      </c>
      <c r="H163">
        <f>IF('Catalog Master'!V163&lt;&gt;"","Y","N")</f>
        <v/>
      </c>
      <c r="I163">
        <f>IF(AND('Catalog Master'!Z163&lt;&gt;"",'Catalog Master'!AA163&lt;&gt;"",'Catalog Master'!AB163&lt;&gt;""),"Y","N")</f>
        <v/>
      </c>
      <c r="J163">
        <f>'Catalog Master'!N163</f>
        <v/>
      </c>
      <c r="K163">
        <f>'Catalog Master'!AL163</f>
        <v/>
      </c>
      <c r="L163">
        <f>IF(AND(E163="Y",F163="Y",G163="Y",H163="Y",I163="Y"),"Y","N")</f>
        <v/>
      </c>
    </row>
    <row r="164">
      <c r="A164">
        <f>'Catalog Master'!A164</f>
        <v/>
      </c>
      <c r="B164">
        <f>'Catalog Master'!B164</f>
        <v/>
      </c>
      <c r="C164">
        <f>'Catalog Master'!O164</f>
        <v/>
      </c>
      <c r="D164">
        <f>'Catalog Master'!F164</f>
        <v/>
      </c>
      <c r="E164">
        <f>IF('Catalog Master'!Q164&lt;&gt;"","Y","N")</f>
        <v/>
      </c>
      <c r="F164">
        <f>IF('Catalog Master'!S164&lt;&gt;"","Y","N")</f>
        <v/>
      </c>
      <c r="G164">
        <f>IF('Catalog Master'!X164&lt;&gt;"","Y","N")</f>
        <v/>
      </c>
      <c r="H164">
        <f>IF('Catalog Master'!V164&lt;&gt;"","Y","N")</f>
        <v/>
      </c>
      <c r="I164">
        <f>IF(AND('Catalog Master'!Z164&lt;&gt;"",'Catalog Master'!AA164&lt;&gt;"",'Catalog Master'!AB164&lt;&gt;""),"Y","N")</f>
        <v/>
      </c>
      <c r="J164">
        <f>'Catalog Master'!N164</f>
        <v/>
      </c>
      <c r="K164">
        <f>'Catalog Master'!AL164</f>
        <v/>
      </c>
      <c r="L164">
        <f>IF(AND(E164="Y",F164="Y",G164="Y",H164="Y",I164="Y"),"Y","N")</f>
        <v/>
      </c>
    </row>
    <row r="165">
      <c r="A165">
        <f>'Catalog Master'!A165</f>
        <v/>
      </c>
      <c r="B165">
        <f>'Catalog Master'!B165</f>
        <v/>
      </c>
      <c r="C165">
        <f>'Catalog Master'!O165</f>
        <v/>
      </c>
      <c r="D165">
        <f>'Catalog Master'!F165</f>
        <v/>
      </c>
      <c r="E165">
        <f>IF('Catalog Master'!Q165&lt;&gt;"","Y","N")</f>
        <v/>
      </c>
      <c r="F165">
        <f>IF('Catalog Master'!S165&lt;&gt;"","Y","N")</f>
        <v/>
      </c>
      <c r="G165">
        <f>IF('Catalog Master'!X165&lt;&gt;"","Y","N")</f>
        <v/>
      </c>
      <c r="H165">
        <f>IF('Catalog Master'!V165&lt;&gt;"","Y","N")</f>
        <v/>
      </c>
      <c r="I165">
        <f>IF(AND('Catalog Master'!Z165&lt;&gt;"",'Catalog Master'!AA165&lt;&gt;"",'Catalog Master'!AB165&lt;&gt;""),"Y","N")</f>
        <v/>
      </c>
      <c r="J165">
        <f>'Catalog Master'!N165</f>
        <v/>
      </c>
      <c r="K165">
        <f>'Catalog Master'!AL165</f>
        <v/>
      </c>
      <c r="L165">
        <f>IF(AND(E165="Y",F165="Y",G165="Y",H165="Y",I165="Y"),"Y","N")</f>
        <v/>
      </c>
    </row>
    <row r="166">
      <c r="A166">
        <f>'Catalog Master'!A166</f>
        <v/>
      </c>
      <c r="B166">
        <f>'Catalog Master'!B166</f>
        <v/>
      </c>
      <c r="C166">
        <f>'Catalog Master'!O166</f>
        <v/>
      </c>
      <c r="D166">
        <f>'Catalog Master'!F166</f>
        <v/>
      </c>
      <c r="E166">
        <f>IF('Catalog Master'!Q166&lt;&gt;"","Y","N")</f>
        <v/>
      </c>
      <c r="F166">
        <f>IF('Catalog Master'!S166&lt;&gt;"","Y","N")</f>
        <v/>
      </c>
      <c r="G166">
        <f>IF('Catalog Master'!X166&lt;&gt;"","Y","N")</f>
        <v/>
      </c>
      <c r="H166">
        <f>IF('Catalog Master'!V166&lt;&gt;"","Y","N")</f>
        <v/>
      </c>
      <c r="I166">
        <f>IF(AND('Catalog Master'!Z166&lt;&gt;"",'Catalog Master'!AA166&lt;&gt;"",'Catalog Master'!AB166&lt;&gt;""),"Y","N")</f>
        <v/>
      </c>
      <c r="J166">
        <f>'Catalog Master'!N166</f>
        <v/>
      </c>
      <c r="K166">
        <f>'Catalog Master'!AL166</f>
        <v/>
      </c>
      <c r="L166">
        <f>IF(AND(E166="Y",F166="Y",G166="Y",H166="Y",I166="Y"),"Y","N")</f>
        <v/>
      </c>
    </row>
    <row r="167">
      <c r="A167">
        <f>'Catalog Master'!A167</f>
        <v/>
      </c>
      <c r="B167">
        <f>'Catalog Master'!B167</f>
        <v/>
      </c>
      <c r="C167">
        <f>'Catalog Master'!O167</f>
        <v/>
      </c>
      <c r="D167">
        <f>'Catalog Master'!F167</f>
        <v/>
      </c>
      <c r="E167">
        <f>IF('Catalog Master'!Q167&lt;&gt;"","Y","N")</f>
        <v/>
      </c>
      <c r="F167">
        <f>IF('Catalog Master'!S167&lt;&gt;"","Y","N")</f>
        <v/>
      </c>
      <c r="G167">
        <f>IF('Catalog Master'!X167&lt;&gt;"","Y","N")</f>
        <v/>
      </c>
      <c r="H167">
        <f>IF('Catalog Master'!V167&lt;&gt;"","Y","N")</f>
        <v/>
      </c>
      <c r="I167">
        <f>IF(AND('Catalog Master'!Z167&lt;&gt;"",'Catalog Master'!AA167&lt;&gt;"",'Catalog Master'!AB167&lt;&gt;""),"Y","N")</f>
        <v/>
      </c>
      <c r="J167">
        <f>'Catalog Master'!N167</f>
        <v/>
      </c>
      <c r="K167">
        <f>'Catalog Master'!AL167</f>
        <v/>
      </c>
      <c r="L167">
        <f>IF(AND(E167="Y",F167="Y",G167="Y",H167="Y",I167="Y"),"Y","N")</f>
        <v/>
      </c>
    </row>
    <row r="168">
      <c r="A168">
        <f>'Catalog Master'!A168</f>
        <v/>
      </c>
      <c r="B168">
        <f>'Catalog Master'!B168</f>
        <v/>
      </c>
      <c r="C168">
        <f>'Catalog Master'!O168</f>
        <v/>
      </c>
      <c r="D168">
        <f>'Catalog Master'!F168</f>
        <v/>
      </c>
      <c r="E168">
        <f>IF('Catalog Master'!Q168&lt;&gt;"","Y","N")</f>
        <v/>
      </c>
      <c r="F168">
        <f>IF('Catalog Master'!S168&lt;&gt;"","Y","N")</f>
        <v/>
      </c>
      <c r="G168">
        <f>IF('Catalog Master'!X168&lt;&gt;"","Y","N")</f>
        <v/>
      </c>
      <c r="H168">
        <f>IF('Catalog Master'!V168&lt;&gt;"","Y","N")</f>
        <v/>
      </c>
      <c r="I168">
        <f>IF(AND('Catalog Master'!Z168&lt;&gt;"",'Catalog Master'!AA168&lt;&gt;"",'Catalog Master'!AB168&lt;&gt;""),"Y","N")</f>
        <v/>
      </c>
      <c r="J168">
        <f>'Catalog Master'!N168</f>
        <v/>
      </c>
      <c r="K168">
        <f>'Catalog Master'!AL168</f>
        <v/>
      </c>
      <c r="L168">
        <f>IF(AND(E168="Y",F168="Y",G168="Y",H168="Y",I168="Y"),"Y","N")</f>
        <v/>
      </c>
    </row>
    <row r="169">
      <c r="A169">
        <f>'Catalog Master'!A169</f>
        <v/>
      </c>
      <c r="B169">
        <f>'Catalog Master'!B169</f>
        <v/>
      </c>
      <c r="C169">
        <f>'Catalog Master'!O169</f>
        <v/>
      </c>
      <c r="D169">
        <f>'Catalog Master'!F169</f>
        <v/>
      </c>
      <c r="E169">
        <f>IF('Catalog Master'!Q169&lt;&gt;"","Y","N")</f>
        <v/>
      </c>
      <c r="F169">
        <f>IF('Catalog Master'!S169&lt;&gt;"","Y","N")</f>
        <v/>
      </c>
      <c r="G169">
        <f>IF('Catalog Master'!X169&lt;&gt;"","Y","N")</f>
        <v/>
      </c>
      <c r="H169">
        <f>IF('Catalog Master'!V169&lt;&gt;"","Y","N")</f>
        <v/>
      </c>
      <c r="I169">
        <f>IF(AND('Catalog Master'!Z169&lt;&gt;"",'Catalog Master'!AA169&lt;&gt;"",'Catalog Master'!AB169&lt;&gt;""),"Y","N")</f>
        <v/>
      </c>
      <c r="J169">
        <f>'Catalog Master'!N169</f>
        <v/>
      </c>
      <c r="K169">
        <f>'Catalog Master'!AL169</f>
        <v/>
      </c>
      <c r="L169">
        <f>IF(AND(E169="Y",F169="Y",G169="Y",H169="Y",I169="Y"),"Y","N")</f>
        <v/>
      </c>
    </row>
    <row r="170">
      <c r="A170">
        <f>'Catalog Master'!A170</f>
        <v/>
      </c>
      <c r="B170">
        <f>'Catalog Master'!B170</f>
        <v/>
      </c>
      <c r="C170">
        <f>'Catalog Master'!O170</f>
        <v/>
      </c>
      <c r="D170">
        <f>'Catalog Master'!F170</f>
        <v/>
      </c>
      <c r="E170">
        <f>IF('Catalog Master'!Q170&lt;&gt;"","Y","N")</f>
        <v/>
      </c>
      <c r="F170">
        <f>IF('Catalog Master'!S170&lt;&gt;"","Y","N")</f>
        <v/>
      </c>
      <c r="G170">
        <f>IF('Catalog Master'!X170&lt;&gt;"","Y","N")</f>
        <v/>
      </c>
      <c r="H170">
        <f>IF('Catalog Master'!V170&lt;&gt;"","Y","N")</f>
        <v/>
      </c>
      <c r="I170">
        <f>IF(AND('Catalog Master'!Z170&lt;&gt;"",'Catalog Master'!AA170&lt;&gt;"",'Catalog Master'!AB170&lt;&gt;""),"Y","N")</f>
        <v/>
      </c>
      <c r="J170">
        <f>'Catalog Master'!N170</f>
        <v/>
      </c>
      <c r="K170">
        <f>'Catalog Master'!AL170</f>
        <v/>
      </c>
      <c r="L170">
        <f>IF(AND(E170="Y",F170="Y",G170="Y",H170="Y",I170="Y"),"Y","N")</f>
        <v/>
      </c>
    </row>
    <row r="171">
      <c r="A171">
        <f>'Catalog Master'!A171</f>
        <v/>
      </c>
      <c r="B171">
        <f>'Catalog Master'!B171</f>
        <v/>
      </c>
      <c r="C171">
        <f>'Catalog Master'!O171</f>
        <v/>
      </c>
      <c r="D171">
        <f>'Catalog Master'!F171</f>
        <v/>
      </c>
      <c r="E171">
        <f>IF('Catalog Master'!Q171&lt;&gt;"","Y","N")</f>
        <v/>
      </c>
      <c r="F171">
        <f>IF('Catalog Master'!S171&lt;&gt;"","Y","N")</f>
        <v/>
      </c>
      <c r="G171">
        <f>IF('Catalog Master'!X171&lt;&gt;"","Y","N")</f>
        <v/>
      </c>
      <c r="H171">
        <f>IF('Catalog Master'!V171&lt;&gt;"","Y","N")</f>
        <v/>
      </c>
      <c r="I171">
        <f>IF(AND('Catalog Master'!Z171&lt;&gt;"",'Catalog Master'!AA171&lt;&gt;"",'Catalog Master'!AB171&lt;&gt;""),"Y","N")</f>
        <v/>
      </c>
      <c r="J171">
        <f>'Catalog Master'!N171</f>
        <v/>
      </c>
      <c r="K171">
        <f>'Catalog Master'!AL171</f>
        <v/>
      </c>
      <c r="L171">
        <f>IF(AND(E171="Y",F171="Y",G171="Y",H171="Y",I171="Y"),"Y","N")</f>
        <v/>
      </c>
    </row>
    <row r="172">
      <c r="A172">
        <f>'Catalog Master'!A172</f>
        <v/>
      </c>
      <c r="B172">
        <f>'Catalog Master'!B172</f>
        <v/>
      </c>
      <c r="C172">
        <f>'Catalog Master'!O172</f>
        <v/>
      </c>
      <c r="D172">
        <f>'Catalog Master'!F172</f>
        <v/>
      </c>
      <c r="E172">
        <f>IF('Catalog Master'!Q172&lt;&gt;"","Y","N")</f>
        <v/>
      </c>
      <c r="F172">
        <f>IF('Catalog Master'!S172&lt;&gt;"","Y","N")</f>
        <v/>
      </c>
      <c r="G172">
        <f>IF('Catalog Master'!X172&lt;&gt;"","Y","N")</f>
        <v/>
      </c>
      <c r="H172">
        <f>IF('Catalog Master'!V172&lt;&gt;"","Y","N")</f>
        <v/>
      </c>
      <c r="I172">
        <f>IF(AND('Catalog Master'!Z172&lt;&gt;"",'Catalog Master'!AA172&lt;&gt;"",'Catalog Master'!AB172&lt;&gt;""),"Y","N")</f>
        <v/>
      </c>
      <c r="J172">
        <f>'Catalog Master'!N172</f>
        <v/>
      </c>
      <c r="K172">
        <f>'Catalog Master'!AL172</f>
        <v/>
      </c>
      <c r="L172">
        <f>IF(AND(E172="Y",F172="Y",G172="Y",H172="Y",I172="Y"),"Y","N")</f>
        <v/>
      </c>
    </row>
    <row r="173">
      <c r="A173">
        <f>'Catalog Master'!A173</f>
        <v/>
      </c>
      <c r="B173">
        <f>'Catalog Master'!B173</f>
        <v/>
      </c>
      <c r="C173">
        <f>'Catalog Master'!O173</f>
        <v/>
      </c>
      <c r="D173">
        <f>'Catalog Master'!F173</f>
        <v/>
      </c>
      <c r="E173">
        <f>IF('Catalog Master'!Q173&lt;&gt;"","Y","N")</f>
        <v/>
      </c>
      <c r="F173">
        <f>IF('Catalog Master'!S173&lt;&gt;"","Y","N")</f>
        <v/>
      </c>
      <c r="G173">
        <f>IF('Catalog Master'!X173&lt;&gt;"","Y","N")</f>
        <v/>
      </c>
      <c r="H173">
        <f>IF('Catalog Master'!V173&lt;&gt;"","Y","N")</f>
        <v/>
      </c>
      <c r="I173">
        <f>IF(AND('Catalog Master'!Z173&lt;&gt;"",'Catalog Master'!AA173&lt;&gt;"",'Catalog Master'!AB173&lt;&gt;""),"Y","N")</f>
        <v/>
      </c>
      <c r="J173">
        <f>'Catalog Master'!N173</f>
        <v/>
      </c>
      <c r="K173">
        <f>'Catalog Master'!AL173</f>
        <v/>
      </c>
      <c r="L173">
        <f>IF(AND(E173="Y",F173="Y",G173="Y",H173="Y",I173="Y"),"Y","N")</f>
        <v/>
      </c>
    </row>
    <row r="174">
      <c r="A174">
        <f>'Catalog Master'!A174</f>
        <v/>
      </c>
      <c r="B174">
        <f>'Catalog Master'!B174</f>
        <v/>
      </c>
      <c r="C174">
        <f>'Catalog Master'!O174</f>
        <v/>
      </c>
      <c r="D174">
        <f>'Catalog Master'!F174</f>
        <v/>
      </c>
      <c r="E174">
        <f>IF('Catalog Master'!Q174&lt;&gt;"","Y","N")</f>
        <v/>
      </c>
      <c r="F174">
        <f>IF('Catalog Master'!S174&lt;&gt;"","Y","N")</f>
        <v/>
      </c>
      <c r="G174">
        <f>IF('Catalog Master'!X174&lt;&gt;"","Y","N")</f>
        <v/>
      </c>
      <c r="H174">
        <f>IF('Catalog Master'!V174&lt;&gt;"","Y","N")</f>
        <v/>
      </c>
      <c r="I174">
        <f>IF(AND('Catalog Master'!Z174&lt;&gt;"",'Catalog Master'!AA174&lt;&gt;"",'Catalog Master'!AB174&lt;&gt;""),"Y","N")</f>
        <v/>
      </c>
      <c r="J174">
        <f>'Catalog Master'!N174</f>
        <v/>
      </c>
      <c r="K174">
        <f>'Catalog Master'!AL174</f>
        <v/>
      </c>
      <c r="L174">
        <f>IF(AND(E174="Y",F174="Y",G174="Y",H174="Y",I174="Y"),"Y","N")</f>
        <v/>
      </c>
    </row>
    <row r="175">
      <c r="A175">
        <f>'Catalog Master'!A175</f>
        <v/>
      </c>
      <c r="B175">
        <f>'Catalog Master'!B175</f>
        <v/>
      </c>
      <c r="C175">
        <f>'Catalog Master'!O175</f>
        <v/>
      </c>
      <c r="D175">
        <f>'Catalog Master'!F175</f>
        <v/>
      </c>
      <c r="E175">
        <f>IF('Catalog Master'!Q175&lt;&gt;"","Y","N")</f>
        <v/>
      </c>
      <c r="F175">
        <f>IF('Catalog Master'!S175&lt;&gt;"","Y","N")</f>
        <v/>
      </c>
      <c r="G175">
        <f>IF('Catalog Master'!X175&lt;&gt;"","Y","N")</f>
        <v/>
      </c>
      <c r="H175">
        <f>IF('Catalog Master'!V175&lt;&gt;"","Y","N")</f>
        <v/>
      </c>
      <c r="I175">
        <f>IF(AND('Catalog Master'!Z175&lt;&gt;"",'Catalog Master'!AA175&lt;&gt;"",'Catalog Master'!AB175&lt;&gt;""),"Y","N")</f>
        <v/>
      </c>
      <c r="J175">
        <f>'Catalog Master'!N175</f>
        <v/>
      </c>
      <c r="K175">
        <f>'Catalog Master'!AL175</f>
        <v/>
      </c>
      <c r="L175">
        <f>IF(AND(E175="Y",F175="Y",G175="Y",H175="Y",I175="Y"),"Y","N")</f>
        <v/>
      </c>
    </row>
    <row r="176">
      <c r="A176">
        <f>'Catalog Master'!A176</f>
        <v/>
      </c>
      <c r="B176">
        <f>'Catalog Master'!B176</f>
        <v/>
      </c>
      <c r="C176">
        <f>'Catalog Master'!O176</f>
        <v/>
      </c>
      <c r="D176">
        <f>'Catalog Master'!F176</f>
        <v/>
      </c>
      <c r="E176">
        <f>IF('Catalog Master'!Q176&lt;&gt;"","Y","N")</f>
        <v/>
      </c>
      <c r="F176">
        <f>IF('Catalog Master'!S176&lt;&gt;"","Y","N")</f>
        <v/>
      </c>
      <c r="G176">
        <f>IF('Catalog Master'!X176&lt;&gt;"","Y","N")</f>
        <v/>
      </c>
      <c r="H176">
        <f>IF('Catalog Master'!V176&lt;&gt;"","Y","N")</f>
        <v/>
      </c>
      <c r="I176">
        <f>IF(AND('Catalog Master'!Z176&lt;&gt;"",'Catalog Master'!AA176&lt;&gt;"",'Catalog Master'!AB176&lt;&gt;""),"Y","N")</f>
        <v/>
      </c>
      <c r="J176">
        <f>'Catalog Master'!N176</f>
        <v/>
      </c>
      <c r="K176">
        <f>'Catalog Master'!AL176</f>
        <v/>
      </c>
      <c r="L176">
        <f>IF(AND(E176="Y",F176="Y",G176="Y",H176="Y",I176="Y"),"Y","N")</f>
        <v/>
      </c>
    </row>
    <row r="177">
      <c r="A177">
        <f>'Catalog Master'!A177</f>
        <v/>
      </c>
      <c r="B177">
        <f>'Catalog Master'!B177</f>
        <v/>
      </c>
      <c r="C177">
        <f>'Catalog Master'!O177</f>
        <v/>
      </c>
      <c r="D177">
        <f>'Catalog Master'!F177</f>
        <v/>
      </c>
      <c r="E177">
        <f>IF('Catalog Master'!Q177&lt;&gt;"","Y","N")</f>
        <v/>
      </c>
      <c r="F177">
        <f>IF('Catalog Master'!S177&lt;&gt;"","Y","N")</f>
        <v/>
      </c>
      <c r="G177">
        <f>IF('Catalog Master'!X177&lt;&gt;"","Y","N")</f>
        <v/>
      </c>
      <c r="H177">
        <f>IF('Catalog Master'!V177&lt;&gt;"","Y","N")</f>
        <v/>
      </c>
      <c r="I177">
        <f>IF(AND('Catalog Master'!Z177&lt;&gt;"",'Catalog Master'!AA177&lt;&gt;"",'Catalog Master'!AB177&lt;&gt;""),"Y","N")</f>
        <v/>
      </c>
      <c r="J177">
        <f>'Catalog Master'!N177</f>
        <v/>
      </c>
      <c r="K177">
        <f>'Catalog Master'!AL177</f>
        <v/>
      </c>
      <c r="L177">
        <f>IF(AND(E177="Y",F177="Y",G177="Y",H177="Y",I177="Y"),"Y","N")</f>
        <v/>
      </c>
    </row>
    <row r="178">
      <c r="A178">
        <f>'Catalog Master'!A178</f>
        <v/>
      </c>
      <c r="B178">
        <f>'Catalog Master'!B178</f>
        <v/>
      </c>
      <c r="C178">
        <f>'Catalog Master'!O178</f>
        <v/>
      </c>
      <c r="D178">
        <f>'Catalog Master'!F178</f>
        <v/>
      </c>
      <c r="E178">
        <f>IF('Catalog Master'!Q178&lt;&gt;"","Y","N")</f>
        <v/>
      </c>
      <c r="F178">
        <f>IF('Catalog Master'!S178&lt;&gt;"","Y","N")</f>
        <v/>
      </c>
      <c r="G178">
        <f>IF('Catalog Master'!X178&lt;&gt;"","Y","N")</f>
        <v/>
      </c>
      <c r="H178">
        <f>IF('Catalog Master'!V178&lt;&gt;"","Y","N")</f>
        <v/>
      </c>
      <c r="I178">
        <f>IF(AND('Catalog Master'!Z178&lt;&gt;"",'Catalog Master'!AA178&lt;&gt;"",'Catalog Master'!AB178&lt;&gt;""),"Y","N")</f>
        <v/>
      </c>
      <c r="J178">
        <f>'Catalog Master'!N178</f>
        <v/>
      </c>
      <c r="K178">
        <f>'Catalog Master'!AL178</f>
        <v/>
      </c>
      <c r="L178">
        <f>IF(AND(E178="Y",F178="Y",G178="Y",H178="Y",I178="Y"),"Y","N")</f>
        <v/>
      </c>
    </row>
    <row r="179">
      <c r="A179">
        <f>'Catalog Master'!A179</f>
        <v/>
      </c>
      <c r="B179">
        <f>'Catalog Master'!B179</f>
        <v/>
      </c>
      <c r="C179">
        <f>'Catalog Master'!O179</f>
        <v/>
      </c>
      <c r="D179">
        <f>'Catalog Master'!F179</f>
        <v/>
      </c>
      <c r="E179">
        <f>IF('Catalog Master'!Q179&lt;&gt;"","Y","N")</f>
        <v/>
      </c>
      <c r="F179">
        <f>IF('Catalog Master'!S179&lt;&gt;"","Y","N")</f>
        <v/>
      </c>
      <c r="G179">
        <f>IF('Catalog Master'!X179&lt;&gt;"","Y","N")</f>
        <v/>
      </c>
      <c r="H179">
        <f>IF('Catalog Master'!V179&lt;&gt;"","Y","N")</f>
        <v/>
      </c>
      <c r="I179">
        <f>IF(AND('Catalog Master'!Z179&lt;&gt;"",'Catalog Master'!AA179&lt;&gt;"",'Catalog Master'!AB179&lt;&gt;""),"Y","N")</f>
        <v/>
      </c>
      <c r="J179">
        <f>'Catalog Master'!N179</f>
        <v/>
      </c>
      <c r="K179">
        <f>'Catalog Master'!AL179</f>
        <v/>
      </c>
      <c r="L179">
        <f>IF(AND(E179="Y",F179="Y",G179="Y",H179="Y",I179="Y"),"Y","N")</f>
        <v/>
      </c>
    </row>
    <row r="180">
      <c r="A180">
        <f>'Catalog Master'!A180</f>
        <v/>
      </c>
      <c r="B180">
        <f>'Catalog Master'!B180</f>
        <v/>
      </c>
      <c r="C180">
        <f>'Catalog Master'!O180</f>
        <v/>
      </c>
      <c r="D180">
        <f>'Catalog Master'!F180</f>
        <v/>
      </c>
      <c r="E180">
        <f>IF('Catalog Master'!Q180&lt;&gt;"","Y","N")</f>
        <v/>
      </c>
      <c r="F180">
        <f>IF('Catalog Master'!S180&lt;&gt;"","Y","N")</f>
        <v/>
      </c>
      <c r="G180">
        <f>IF('Catalog Master'!X180&lt;&gt;"","Y","N")</f>
        <v/>
      </c>
      <c r="H180">
        <f>IF('Catalog Master'!V180&lt;&gt;"","Y","N")</f>
        <v/>
      </c>
      <c r="I180">
        <f>IF(AND('Catalog Master'!Z180&lt;&gt;"",'Catalog Master'!AA180&lt;&gt;"",'Catalog Master'!AB180&lt;&gt;""),"Y","N")</f>
        <v/>
      </c>
      <c r="J180">
        <f>'Catalog Master'!N180</f>
        <v/>
      </c>
      <c r="K180">
        <f>'Catalog Master'!AL180</f>
        <v/>
      </c>
      <c r="L180">
        <f>IF(AND(E180="Y",F180="Y",G180="Y",H180="Y",I180="Y"),"Y","N")</f>
        <v/>
      </c>
    </row>
    <row r="181">
      <c r="A181">
        <f>'Catalog Master'!A181</f>
        <v/>
      </c>
      <c r="B181">
        <f>'Catalog Master'!B181</f>
        <v/>
      </c>
      <c r="C181">
        <f>'Catalog Master'!O181</f>
        <v/>
      </c>
      <c r="D181">
        <f>'Catalog Master'!F181</f>
        <v/>
      </c>
      <c r="E181">
        <f>IF('Catalog Master'!Q181&lt;&gt;"","Y","N")</f>
        <v/>
      </c>
      <c r="F181">
        <f>IF('Catalog Master'!S181&lt;&gt;"","Y","N")</f>
        <v/>
      </c>
      <c r="G181">
        <f>IF('Catalog Master'!X181&lt;&gt;"","Y","N")</f>
        <v/>
      </c>
      <c r="H181">
        <f>IF('Catalog Master'!V181&lt;&gt;"","Y","N")</f>
        <v/>
      </c>
      <c r="I181">
        <f>IF(AND('Catalog Master'!Z181&lt;&gt;"",'Catalog Master'!AA181&lt;&gt;"",'Catalog Master'!AB181&lt;&gt;""),"Y","N")</f>
        <v/>
      </c>
      <c r="J181">
        <f>'Catalog Master'!N181</f>
        <v/>
      </c>
      <c r="K181">
        <f>'Catalog Master'!AL181</f>
        <v/>
      </c>
      <c r="L181">
        <f>IF(AND(E181="Y",F181="Y",G181="Y",H181="Y",I181="Y"),"Y","N")</f>
        <v/>
      </c>
    </row>
    <row r="182">
      <c r="A182">
        <f>'Catalog Master'!A182</f>
        <v/>
      </c>
      <c r="B182">
        <f>'Catalog Master'!B182</f>
        <v/>
      </c>
      <c r="C182">
        <f>'Catalog Master'!O182</f>
        <v/>
      </c>
      <c r="D182">
        <f>'Catalog Master'!F182</f>
        <v/>
      </c>
      <c r="E182">
        <f>IF('Catalog Master'!Q182&lt;&gt;"","Y","N")</f>
        <v/>
      </c>
      <c r="F182">
        <f>IF('Catalog Master'!S182&lt;&gt;"","Y","N")</f>
        <v/>
      </c>
      <c r="G182">
        <f>IF('Catalog Master'!X182&lt;&gt;"","Y","N")</f>
        <v/>
      </c>
      <c r="H182">
        <f>IF('Catalog Master'!V182&lt;&gt;"","Y","N")</f>
        <v/>
      </c>
      <c r="I182">
        <f>IF(AND('Catalog Master'!Z182&lt;&gt;"",'Catalog Master'!AA182&lt;&gt;"",'Catalog Master'!AB182&lt;&gt;""),"Y","N")</f>
        <v/>
      </c>
      <c r="J182">
        <f>'Catalog Master'!N182</f>
        <v/>
      </c>
      <c r="K182">
        <f>'Catalog Master'!AL182</f>
        <v/>
      </c>
      <c r="L182">
        <f>IF(AND(E182="Y",F182="Y",G182="Y",H182="Y",I182="Y"),"Y","N")</f>
        <v/>
      </c>
    </row>
    <row r="183">
      <c r="A183">
        <f>'Catalog Master'!A183</f>
        <v/>
      </c>
      <c r="B183">
        <f>'Catalog Master'!B183</f>
        <v/>
      </c>
      <c r="C183">
        <f>'Catalog Master'!O183</f>
        <v/>
      </c>
      <c r="D183">
        <f>'Catalog Master'!F183</f>
        <v/>
      </c>
      <c r="E183">
        <f>IF('Catalog Master'!Q183&lt;&gt;"","Y","N")</f>
        <v/>
      </c>
      <c r="F183">
        <f>IF('Catalog Master'!S183&lt;&gt;"","Y","N")</f>
        <v/>
      </c>
      <c r="G183">
        <f>IF('Catalog Master'!X183&lt;&gt;"","Y","N")</f>
        <v/>
      </c>
      <c r="H183">
        <f>IF('Catalog Master'!V183&lt;&gt;"","Y","N")</f>
        <v/>
      </c>
      <c r="I183">
        <f>IF(AND('Catalog Master'!Z183&lt;&gt;"",'Catalog Master'!AA183&lt;&gt;"",'Catalog Master'!AB183&lt;&gt;""),"Y","N")</f>
        <v/>
      </c>
      <c r="J183">
        <f>'Catalog Master'!N183</f>
        <v/>
      </c>
      <c r="K183">
        <f>'Catalog Master'!AL183</f>
        <v/>
      </c>
      <c r="L183">
        <f>IF(AND(E183="Y",F183="Y",G183="Y",H183="Y",I183="Y"),"Y","N")</f>
        <v/>
      </c>
    </row>
    <row r="184">
      <c r="A184">
        <f>'Catalog Master'!A184</f>
        <v/>
      </c>
      <c r="B184">
        <f>'Catalog Master'!B184</f>
        <v/>
      </c>
      <c r="C184">
        <f>'Catalog Master'!O184</f>
        <v/>
      </c>
      <c r="D184">
        <f>'Catalog Master'!F184</f>
        <v/>
      </c>
      <c r="E184">
        <f>IF('Catalog Master'!Q184&lt;&gt;"","Y","N")</f>
        <v/>
      </c>
      <c r="F184">
        <f>IF('Catalog Master'!S184&lt;&gt;"","Y","N")</f>
        <v/>
      </c>
      <c r="G184">
        <f>IF('Catalog Master'!X184&lt;&gt;"","Y","N")</f>
        <v/>
      </c>
      <c r="H184">
        <f>IF('Catalog Master'!V184&lt;&gt;"","Y","N")</f>
        <v/>
      </c>
      <c r="I184">
        <f>IF(AND('Catalog Master'!Z184&lt;&gt;"",'Catalog Master'!AA184&lt;&gt;"",'Catalog Master'!AB184&lt;&gt;""),"Y","N")</f>
        <v/>
      </c>
      <c r="J184">
        <f>'Catalog Master'!N184</f>
        <v/>
      </c>
      <c r="K184">
        <f>'Catalog Master'!AL184</f>
        <v/>
      </c>
      <c r="L184">
        <f>IF(AND(E184="Y",F184="Y",G184="Y",H184="Y",I184="Y"),"Y","N")</f>
        <v/>
      </c>
    </row>
    <row r="185">
      <c r="A185">
        <f>'Catalog Master'!A185</f>
        <v/>
      </c>
      <c r="B185">
        <f>'Catalog Master'!B185</f>
        <v/>
      </c>
      <c r="C185">
        <f>'Catalog Master'!O185</f>
        <v/>
      </c>
      <c r="D185">
        <f>'Catalog Master'!F185</f>
        <v/>
      </c>
      <c r="E185">
        <f>IF('Catalog Master'!Q185&lt;&gt;"","Y","N")</f>
        <v/>
      </c>
      <c r="F185">
        <f>IF('Catalog Master'!S185&lt;&gt;"","Y","N")</f>
        <v/>
      </c>
      <c r="G185">
        <f>IF('Catalog Master'!X185&lt;&gt;"","Y","N")</f>
        <v/>
      </c>
      <c r="H185">
        <f>IF('Catalog Master'!V185&lt;&gt;"","Y","N")</f>
        <v/>
      </c>
      <c r="I185">
        <f>IF(AND('Catalog Master'!Z185&lt;&gt;"",'Catalog Master'!AA185&lt;&gt;"",'Catalog Master'!AB185&lt;&gt;""),"Y","N")</f>
        <v/>
      </c>
      <c r="J185">
        <f>'Catalog Master'!N185</f>
        <v/>
      </c>
      <c r="K185">
        <f>'Catalog Master'!AL185</f>
        <v/>
      </c>
      <c r="L185">
        <f>IF(AND(E185="Y",F185="Y",G185="Y",H185="Y",I185="Y"),"Y","N")</f>
        <v/>
      </c>
    </row>
    <row r="186">
      <c r="A186">
        <f>'Catalog Master'!A186</f>
        <v/>
      </c>
      <c r="B186">
        <f>'Catalog Master'!B186</f>
        <v/>
      </c>
      <c r="C186">
        <f>'Catalog Master'!O186</f>
        <v/>
      </c>
      <c r="D186">
        <f>'Catalog Master'!F186</f>
        <v/>
      </c>
      <c r="E186">
        <f>IF('Catalog Master'!Q186&lt;&gt;"","Y","N")</f>
        <v/>
      </c>
      <c r="F186">
        <f>IF('Catalog Master'!S186&lt;&gt;"","Y","N")</f>
        <v/>
      </c>
      <c r="G186">
        <f>IF('Catalog Master'!X186&lt;&gt;"","Y","N")</f>
        <v/>
      </c>
      <c r="H186">
        <f>IF('Catalog Master'!V186&lt;&gt;"","Y","N")</f>
        <v/>
      </c>
      <c r="I186">
        <f>IF(AND('Catalog Master'!Z186&lt;&gt;"",'Catalog Master'!AA186&lt;&gt;"",'Catalog Master'!AB186&lt;&gt;""),"Y","N")</f>
        <v/>
      </c>
      <c r="J186">
        <f>'Catalog Master'!N186</f>
        <v/>
      </c>
      <c r="K186">
        <f>'Catalog Master'!AL186</f>
        <v/>
      </c>
      <c r="L186">
        <f>IF(AND(E186="Y",F186="Y",G186="Y",H186="Y",I186="Y"),"Y","N")</f>
        <v/>
      </c>
    </row>
    <row r="187">
      <c r="A187">
        <f>'Catalog Master'!A187</f>
        <v/>
      </c>
      <c r="B187">
        <f>'Catalog Master'!B187</f>
        <v/>
      </c>
      <c r="C187">
        <f>'Catalog Master'!O187</f>
        <v/>
      </c>
      <c r="D187">
        <f>'Catalog Master'!F187</f>
        <v/>
      </c>
      <c r="E187">
        <f>IF('Catalog Master'!Q187&lt;&gt;"","Y","N")</f>
        <v/>
      </c>
      <c r="F187">
        <f>IF('Catalog Master'!S187&lt;&gt;"","Y","N")</f>
        <v/>
      </c>
      <c r="G187">
        <f>IF('Catalog Master'!X187&lt;&gt;"","Y","N")</f>
        <v/>
      </c>
      <c r="H187">
        <f>IF('Catalog Master'!V187&lt;&gt;"","Y","N")</f>
        <v/>
      </c>
      <c r="I187">
        <f>IF(AND('Catalog Master'!Z187&lt;&gt;"",'Catalog Master'!AA187&lt;&gt;"",'Catalog Master'!AB187&lt;&gt;""),"Y","N")</f>
        <v/>
      </c>
      <c r="J187">
        <f>'Catalog Master'!N187</f>
        <v/>
      </c>
      <c r="K187">
        <f>'Catalog Master'!AL187</f>
        <v/>
      </c>
      <c r="L187">
        <f>IF(AND(E187="Y",F187="Y",G187="Y",H187="Y",I187="Y"),"Y","N")</f>
        <v/>
      </c>
    </row>
    <row r="188">
      <c r="A188">
        <f>'Catalog Master'!A188</f>
        <v/>
      </c>
      <c r="B188">
        <f>'Catalog Master'!B188</f>
        <v/>
      </c>
      <c r="C188">
        <f>'Catalog Master'!O188</f>
        <v/>
      </c>
      <c r="D188">
        <f>'Catalog Master'!F188</f>
        <v/>
      </c>
      <c r="E188">
        <f>IF('Catalog Master'!Q188&lt;&gt;"","Y","N")</f>
        <v/>
      </c>
      <c r="F188">
        <f>IF('Catalog Master'!S188&lt;&gt;"","Y","N")</f>
        <v/>
      </c>
      <c r="G188">
        <f>IF('Catalog Master'!X188&lt;&gt;"","Y","N")</f>
        <v/>
      </c>
      <c r="H188">
        <f>IF('Catalog Master'!V188&lt;&gt;"","Y","N")</f>
        <v/>
      </c>
      <c r="I188">
        <f>IF(AND('Catalog Master'!Z188&lt;&gt;"",'Catalog Master'!AA188&lt;&gt;"",'Catalog Master'!AB188&lt;&gt;""),"Y","N")</f>
        <v/>
      </c>
      <c r="J188">
        <f>'Catalog Master'!N188</f>
        <v/>
      </c>
      <c r="K188">
        <f>'Catalog Master'!AL188</f>
        <v/>
      </c>
      <c r="L188">
        <f>IF(AND(E188="Y",F188="Y",G188="Y",H188="Y",I188="Y"),"Y","N")</f>
        <v/>
      </c>
    </row>
    <row r="189">
      <c r="A189">
        <f>'Catalog Master'!A189</f>
        <v/>
      </c>
      <c r="B189">
        <f>'Catalog Master'!B189</f>
        <v/>
      </c>
      <c r="C189">
        <f>'Catalog Master'!O189</f>
        <v/>
      </c>
      <c r="D189">
        <f>'Catalog Master'!F189</f>
        <v/>
      </c>
      <c r="E189">
        <f>IF('Catalog Master'!Q189&lt;&gt;"","Y","N")</f>
        <v/>
      </c>
      <c r="F189">
        <f>IF('Catalog Master'!S189&lt;&gt;"","Y","N")</f>
        <v/>
      </c>
      <c r="G189">
        <f>IF('Catalog Master'!X189&lt;&gt;"","Y","N")</f>
        <v/>
      </c>
      <c r="H189">
        <f>IF('Catalog Master'!V189&lt;&gt;"","Y","N")</f>
        <v/>
      </c>
      <c r="I189">
        <f>IF(AND('Catalog Master'!Z189&lt;&gt;"",'Catalog Master'!AA189&lt;&gt;"",'Catalog Master'!AB189&lt;&gt;""),"Y","N")</f>
        <v/>
      </c>
      <c r="J189">
        <f>'Catalog Master'!N189</f>
        <v/>
      </c>
      <c r="K189">
        <f>'Catalog Master'!AL189</f>
        <v/>
      </c>
      <c r="L189">
        <f>IF(AND(E189="Y",F189="Y",G189="Y",H189="Y",I189="Y"),"Y","N")</f>
        <v/>
      </c>
    </row>
    <row r="190">
      <c r="A190">
        <f>'Catalog Master'!A190</f>
        <v/>
      </c>
      <c r="B190">
        <f>'Catalog Master'!B190</f>
        <v/>
      </c>
      <c r="C190">
        <f>'Catalog Master'!O190</f>
        <v/>
      </c>
      <c r="D190">
        <f>'Catalog Master'!F190</f>
        <v/>
      </c>
      <c r="E190">
        <f>IF('Catalog Master'!Q190&lt;&gt;"","Y","N")</f>
        <v/>
      </c>
      <c r="F190">
        <f>IF('Catalog Master'!S190&lt;&gt;"","Y","N")</f>
        <v/>
      </c>
      <c r="G190">
        <f>IF('Catalog Master'!X190&lt;&gt;"","Y","N")</f>
        <v/>
      </c>
      <c r="H190">
        <f>IF('Catalog Master'!V190&lt;&gt;"","Y","N")</f>
        <v/>
      </c>
      <c r="I190">
        <f>IF(AND('Catalog Master'!Z190&lt;&gt;"",'Catalog Master'!AA190&lt;&gt;"",'Catalog Master'!AB190&lt;&gt;""),"Y","N")</f>
        <v/>
      </c>
      <c r="J190">
        <f>'Catalog Master'!N190</f>
        <v/>
      </c>
      <c r="K190">
        <f>'Catalog Master'!AL190</f>
        <v/>
      </c>
      <c r="L190">
        <f>IF(AND(E190="Y",F190="Y",G190="Y",H190="Y",I190="Y"),"Y","N")</f>
        <v/>
      </c>
    </row>
    <row r="191">
      <c r="A191">
        <f>'Catalog Master'!A191</f>
        <v/>
      </c>
      <c r="B191">
        <f>'Catalog Master'!B191</f>
        <v/>
      </c>
      <c r="C191">
        <f>'Catalog Master'!O191</f>
        <v/>
      </c>
      <c r="D191">
        <f>'Catalog Master'!F191</f>
        <v/>
      </c>
      <c r="E191">
        <f>IF('Catalog Master'!Q191&lt;&gt;"","Y","N")</f>
        <v/>
      </c>
      <c r="F191">
        <f>IF('Catalog Master'!S191&lt;&gt;"","Y","N")</f>
        <v/>
      </c>
      <c r="G191">
        <f>IF('Catalog Master'!X191&lt;&gt;"","Y","N")</f>
        <v/>
      </c>
      <c r="H191">
        <f>IF('Catalog Master'!V191&lt;&gt;"","Y","N")</f>
        <v/>
      </c>
      <c r="I191">
        <f>IF(AND('Catalog Master'!Z191&lt;&gt;"",'Catalog Master'!AA191&lt;&gt;"",'Catalog Master'!AB191&lt;&gt;""),"Y","N")</f>
        <v/>
      </c>
      <c r="J191">
        <f>'Catalog Master'!N191</f>
        <v/>
      </c>
      <c r="K191">
        <f>'Catalog Master'!AL191</f>
        <v/>
      </c>
      <c r="L191">
        <f>IF(AND(E191="Y",F191="Y",G191="Y",H191="Y",I191="Y"),"Y","N")</f>
        <v/>
      </c>
    </row>
    <row r="192">
      <c r="A192">
        <f>'Catalog Master'!A192</f>
        <v/>
      </c>
      <c r="B192">
        <f>'Catalog Master'!B192</f>
        <v/>
      </c>
      <c r="C192">
        <f>'Catalog Master'!O192</f>
        <v/>
      </c>
      <c r="D192">
        <f>'Catalog Master'!F192</f>
        <v/>
      </c>
      <c r="E192">
        <f>IF('Catalog Master'!Q192&lt;&gt;"","Y","N")</f>
        <v/>
      </c>
      <c r="F192">
        <f>IF('Catalog Master'!S192&lt;&gt;"","Y","N")</f>
        <v/>
      </c>
      <c r="G192">
        <f>IF('Catalog Master'!X192&lt;&gt;"","Y","N")</f>
        <v/>
      </c>
      <c r="H192">
        <f>IF('Catalog Master'!V192&lt;&gt;"","Y","N")</f>
        <v/>
      </c>
      <c r="I192">
        <f>IF(AND('Catalog Master'!Z192&lt;&gt;"",'Catalog Master'!AA192&lt;&gt;"",'Catalog Master'!AB192&lt;&gt;""),"Y","N")</f>
        <v/>
      </c>
      <c r="J192">
        <f>'Catalog Master'!N192</f>
        <v/>
      </c>
      <c r="K192">
        <f>'Catalog Master'!AL192</f>
        <v/>
      </c>
      <c r="L192">
        <f>IF(AND(E192="Y",F192="Y",G192="Y",H192="Y",I192="Y"),"Y","N")</f>
        <v/>
      </c>
    </row>
    <row r="193">
      <c r="A193">
        <f>'Catalog Master'!A193</f>
        <v/>
      </c>
      <c r="B193">
        <f>'Catalog Master'!B193</f>
        <v/>
      </c>
      <c r="C193">
        <f>'Catalog Master'!O193</f>
        <v/>
      </c>
      <c r="D193">
        <f>'Catalog Master'!F193</f>
        <v/>
      </c>
      <c r="E193">
        <f>IF('Catalog Master'!Q193&lt;&gt;"","Y","N")</f>
        <v/>
      </c>
      <c r="F193">
        <f>IF('Catalog Master'!S193&lt;&gt;"","Y","N")</f>
        <v/>
      </c>
      <c r="G193">
        <f>IF('Catalog Master'!X193&lt;&gt;"","Y","N")</f>
        <v/>
      </c>
      <c r="H193">
        <f>IF('Catalog Master'!V193&lt;&gt;"","Y","N")</f>
        <v/>
      </c>
      <c r="I193">
        <f>IF(AND('Catalog Master'!Z193&lt;&gt;"",'Catalog Master'!AA193&lt;&gt;"",'Catalog Master'!AB193&lt;&gt;""),"Y","N")</f>
        <v/>
      </c>
      <c r="J193">
        <f>'Catalog Master'!N193</f>
        <v/>
      </c>
      <c r="K193">
        <f>'Catalog Master'!AL193</f>
        <v/>
      </c>
      <c r="L193">
        <f>IF(AND(E193="Y",F193="Y",G193="Y",H193="Y",I193="Y"),"Y","N")</f>
        <v/>
      </c>
    </row>
    <row r="194">
      <c r="A194">
        <f>'Catalog Master'!A194</f>
        <v/>
      </c>
      <c r="B194">
        <f>'Catalog Master'!B194</f>
        <v/>
      </c>
      <c r="C194">
        <f>'Catalog Master'!O194</f>
        <v/>
      </c>
      <c r="D194">
        <f>'Catalog Master'!F194</f>
        <v/>
      </c>
      <c r="E194">
        <f>IF('Catalog Master'!Q194&lt;&gt;"","Y","N")</f>
        <v/>
      </c>
      <c r="F194">
        <f>IF('Catalog Master'!S194&lt;&gt;"","Y","N")</f>
        <v/>
      </c>
      <c r="G194">
        <f>IF('Catalog Master'!X194&lt;&gt;"","Y","N")</f>
        <v/>
      </c>
      <c r="H194">
        <f>IF('Catalog Master'!V194&lt;&gt;"","Y","N")</f>
        <v/>
      </c>
      <c r="I194">
        <f>IF(AND('Catalog Master'!Z194&lt;&gt;"",'Catalog Master'!AA194&lt;&gt;"",'Catalog Master'!AB194&lt;&gt;""),"Y","N")</f>
        <v/>
      </c>
      <c r="J194">
        <f>'Catalog Master'!N194</f>
        <v/>
      </c>
      <c r="K194">
        <f>'Catalog Master'!AL194</f>
        <v/>
      </c>
      <c r="L194">
        <f>IF(AND(E194="Y",F194="Y",G194="Y",H194="Y",I194="Y"),"Y","N")</f>
        <v/>
      </c>
    </row>
    <row r="195">
      <c r="A195">
        <f>'Catalog Master'!A195</f>
        <v/>
      </c>
      <c r="B195">
        <f>'Catalog Master'!B195</f>
        <v/>
      </c>
      <c r="C195">
        <f>'Catalog Master'!O195</f>
        <v/>
      </c>
      <c r="D195">
        <f>'Catalog Master'!F195</f>
        <v/>
      </c>
      <c r="E195">
        <f>IF('Catalog Master'!Q195&lt;&gt;"","Y","N")</f>
        <v/>
      </c>
      <c r="F195">
        <f>IF('Catalog Master'!S195&lt;&gt;"","Y","N")</f>
        <v/>
      </c>
      <c r="G195">
        <f>IF('Catalog Master'!X195&lt;&gt;"","Y","N")</f>
        <v/>
      </c>
      <c r="H195">
        <f>IF('Catalog Master'!V195&lt;&gt;"","Y","N")</f>
        <v/>
      </c>
      <c r="I195">
        <f>IF(AND('Catalog Master'!Z195&lt;&gt;"",'Catalog Master'!AA195&lt;&gt;"",'Catalog Master'!AB195&lt;&gt;""),"Y","N")</f>
        <v/>
      </c>
      <c r="J195">
        <f>'Catalog Master'!N195</f>
        <v/>
      </c>
      <c r="K195">
        <f>'Catalog Master'!AL195</f>
        <v/>
      </c>
      <c r="L195">
        <f>IF(AND(E195="Y",F195="Y",G195="Y",H195="Y",I195="Y"),"Y","N")</f>
        <v/>
      </c>
    </row>
    <row r="196">
      <c r="A196">
        <f>'Catalog Master'!A196</f>
        <v/>
      </c>
      <c r="B196">
        <f>'Catalog Master'!B196</f>
        <v/>
      </c>
      <c r="C196">
        <f>'Catalog Master'!O196</f>
        <v/>
      </c>
      <c r="D196">
        <f>'Catalog Master'!F196</f>
        <v/>
      </c>
      <c r="E196">
        <f>IF('Catalog Master'!Q196&lt;&gt;"","Y","N")</f>
        <v/>
      </c>
      <c r="F196">
        <f>IF('Catalog Master'!S196&lt;&gt;"","Y","N")</f>
        <v/>
      </c>
      <c r="G196">
        <f>IF('Catalog Master'!X196&lt;&gt;"","Y","N")</f>
        <v/>
      </c>
      <c r="H196">
        <f>IF('Catalog Master'!V196&lt;&gt;"","Y","N")</f>
        <v/>
      </c>
      <c r="I196">
        <f>IF(AND('Catalog Master'!Z196&lt;&gt;"",'Catalog Master'!AA196&lt;&gt;"",'Catalog Master'!AB196&lt;&gt;""),"Y","N")</f>
        <v/>
      </c>
      <c r="J196">
        <f>'Catalog Master'!N196</f>
        <v/>
      </c>
      <c r="K196">
        <f>'Catalog Master'!AL196</f>
        <v/>
      </c>
      <c r="L196">
        <f>IF(AND(E196="Y",F196="Y",G196="Y",H196="Y",I196="Y"),"Y","N")</f>
        <v/>
      </c>
    </row>
    <row r="197">
      <c r="A197">
        <f>'Catalog Master'!A197</f>
        <v/>
      </c>
      <c r="B197">
        <f>'Catalog Master'!B197</f>
        <v/>
      </c>
      <c r="C197">
        <f>'Catalog Master'!O197</f>
        <v/>
      </c>
      <c r="D197">
        <f>'Catalog Master'!F197</f>
        <v/>
      </c>
      <c r="E197">
        <f>IF('Catalog Master'!Q197&lt;&gt;"","Y","N")</f>
        <v/>
      </c>
      <c r="F197">
        <f>IF('Catalog Master'!S197&lt;&gt;"","Y","N")</f>
        <v/>
      </c>
      <c r="G197">
        <f>IF('Catalog Master'!X197&lt;&gt;"","Y","N")</f>
        <v/>
      </c>
      <c r="H197">
        <f>IF('Catalog Master'!V197&lt;&gt;"","Y","N")</f>
        <v/>
      </c>
      <c r="I197">
        <f>IF(AND('Catalog Master'!Z197&lt;&gt;"",'Catalog Master'!AA197&lt;&gt;"",'Catalog Master'!AB197&lt;&gt;""),"Y","N")</f>
        <v/>
      </c>
      <c r="J197">
        <f>'Catalog Master'!N197</f>
        <v/>
      </c>
      <c r="K197">
        <f>'Catalog Master'!AL197</f>
        <v/>
      </c>
      <c r="L197">
        <f>IF(AND(E197="Y",F197="Y",G197="Y",H197="Y",I197="Y"),"Y","N")</f>
        <v/>
      </c>
    </row>
    <row r="198">
      <c r="A198">
        <f>'Catalog Master'!A198</f>
        <v/>
      </c>
      <c r="B198">
        <f>'Catalog Master'!B198</f>
        <v/>
      </c>
      <c r="C198">
        <f>'Catalog Master'!O198</f>
        <v/>
      </c>
      <c r="D198">
        <f>'Catalog Master'!F198</f>
        <v/>
      </c>
      <c r="E198">
        <f>IF('Catalog Master'!Q198&lt;&gt;"","Y","N")</f>
        <v/>
      </c>
      <c r="F198">
        <f>IF('Catalog Master'!S198&lt;&gt;"","Y","N")</f>
        <v/>
      </c>
      <c r="G198">
        <f>IF('Catalog Master'!X198&lt;&gt;"","Y","N")</f>
        <v/>
      </c>
      <c r="H198">
        <f>IF('Catalog Master'!V198&lt;&gt;"","Y","N")</f>
        <v/>
      </c>
      <c r="I198">
        <f>IF(AND('Catalog Master'!Z198&lt;&gt;"",'Catalog Master'!AA198&lt;&gt;"",'Catalog Master'!AB198&lt;&gt;""),"Y","N")</f>
        <v/>
      </c>
      <c r="J198">
        <f>'Catalog Master'!N198</f>
        <v/>
      </c>
      <c r="K198">
        <f>'Catalog Master'!AL198</f>
        <v/>
      </c>
      <c r="L198">
        <f>IF(AND(E198="Y",F198="Y",G198="Y",H198="Y",I198="Y"),"Y","N")</f>
        <v/>
      </c>
    </row>
    <row r="199">
      <c r="A199">
        <f>'Catalog Master'!A199</f>
        <v/>
      </c>
      <c r="B199">
        <f>'Catalog Master'!B199</f>
        <v/>
      </c>
      <c r="C199">
        <f>'Catalog Master'!O199</f>
        <v/>
      </c>
      <c r="D199">
        <f>'Catalog Master'!F199</f>
        <v/>
      </c>
      <c r="E199">
        <f>IF('Catalog Master'!Q199&lt;&gt;"","Y","N")</f>
        <v/>
      </c>
      <c r="F199">
        <f>IF('Catalog Master'!S199&lt;&gt;"","Y","N")</f>
        <v/>
      </c>
      <c r="G199">
        <f>IF('Catalog Master'!X199&lt;&gt;"","Y","N")</f>
        <v/>
      </c>
      <c r="H199">
        <f>IF('Catalog Master'!V199&lt;&gt;"","Y","N")</f>
        <v/>
      </c>
      <c r="I199">
        <f>IF(AND('Catalog Master'!Z199&lt;&gt;"",'Catalog Master'!AA199&lt;&gt;"",'Catalog Master'!AB199&lt;&gt;""),"Y","N")</f>
        <v/>
      </c>
      <c r="J199">
        <f>'Catalog Master'!N199</f>
        <v/>
      </c>
      <c r="K199">
        <f>'Catalog Master'!AL199</f>
        <v/>
      </c>
      <c r="L199">
        <f>IF(AND(E199="Y",F199="Y",G199="Y",H199="Y",I199="Y"),"Y","N")</f>
        <v/>
      </c>
    </row>
    <row r="200">
      <c r="A200">
        <f>'Catalog Master'!A200</f>
        <v/>
      </c>
      <c r="B200">
        <f>'Catalog Master'!B200</f>
        <v/>
      </c>
      <c r="C200">
        <f>'Catalog Master'!O200</f>
        <v/>
      </c>
      <c r="D200">
        <f>'Catalog Master'!F200</f>
        <v/>
      </c>
      <c r="E200">
        <f>IF('Catalog Master'!Q200&lt;&gt;"","Y","N")</f>
        <v/>
      </c>
      <c r="F200">
        <f>IF('Catalog Master'!S200&lt;&gt;"","Y","N")</f>
        <v/>
      </c>
      <c r="G200">
        <f>IF('Catalog Master'!X200&lt;&gt;"","Y","N")</f>
        <v/>
      </c>
      <c r="H200">
        <f>IF('Catalog Master'!V200&lt;&gt;"","Y","N")</f>
        <v/>
      </c>
      <c r="I200">
        <f>IF(AND('Catalog Master'!Z200&lt;&gt;"",'Catalog Master'!AA200&lt;&gt;"",'Catalog Master'!AB200&lt;&gt;""),"Y","N")</f>
        <v/>
      </c>
      <c r="J200">
        <f>'Catalog Master'!N200</f>
        <v/>
      </c>
      <c r="K200">
        <f>'Catalog Master'!AL200</f>
        <v/>
      </c>
      <c r="L200">
        <f>IF(AND(E200="Y",F200="Y",G200="Y",H200="Y",I200="Y"),"Y","N")</f>
        <v/>
      </c>
    </row>
    <row r="201">
      <c r="A201">
        <f>'Catalog Master'!A201</f>
        <v/>
      </c>
      <c r="B201">
        <f>'Catalog Master'!B201</f>
        <v/>
      </c>
      <c r="C201">
        <f>'Catalog Master'!O201</f>
        <v/>
      </c>
      <c r="D201">
        <f>'Catalog Master'!F201</f>
        <v/>
      </c>
      <c r="E201">
        <f>IF('Catalog Master'!Q201&lt;&gt;"","Y","N")</f>
        <v/>
      </c>
      <c r="F201">
        <f>IF('Catalog Master'!S201&lt;&gt;"","Y","N")</f>
        <v/>
      </c>
      <c r="G201">
        <f>IF('Catalog Master'!X201&lt;&gt;"","Y","N")</f>
        <v/>
      </c>
      <c r="H201">
        <f>IF('Catalog Master'!V201&lt;&gt;"","Y","N")</f>
        <v/>
      </c>
      <c r="I201">
        <f>IF(AND('Catalog Master'!Z201&lt;&gt;"",'Catalog Master'!AA201&lt;&gt;"",'Catalog Master'!AB201&lt;&gt;""),"Y","N")</f>
        <v/>
      </c>
      <c r="J201">
        <f>'Catalog Master'!N201</f>
        <v/>
      </c>
      <c r="K201">
        <f>'Catalog Master'!AL201</f>
        <v/>
      </c>
      <c r="L201">
        <f>IF(AND(E201="Y",F201="Y",G201="Y",H201="Y",I201="Y"),"Y","N")</f>
        <v/>
      </c>
    </row>
    <row r="202">
      <c r="A202">
        <f>'Catalog Master'!A202</f>
        <v/>
      </c>
      <c r="B202">
        <f>'Catalog Master'!B202</f>
        <v/>
      </c>
      <c r="C202">
        <f>'Catalog Master'!O202</f>
        <v/>
      </c>
      <c r="D202">
        <f>'Catalog Master'!F202</f>
        <v/>
      </c>
      <c r="E202">
        <f>IF('Catalog Master'!Q202&lt;&gt;"","Y","N")</f>
        <v/>
      </c>
      <c r="F202">
        <f>IF('Catalog Master'!S202&lt;&gt;"","Y","N")</f>
        <v/>
      </c>
      <c r="G202">
        <f>IF('Catalog Master'!X202&lt;&gt;"","Y","N")</f>
        <v/>
      </c>
      <c r="H202">
        <f>IF('Catalog Master'!V202&lt;&gt;"","Y","N")</f>
        <v/>
      </c>
      <c r="I202">
        <f>IF(AND('Catalog Master'!Z202&lt;&gt;"",'Catalog Master'!AA202&lt;&gt;"",'Catalog Master'!AB202&lt;&gt;""),"Y","N")</f>
        <v/>
      </c>
      <c r="J202">
        <f>'Catalog Master'!N202</f>
        <v/>
      </c>
      <c r="K202">
        <f>'Catalog Master'!AL202</f>
        <v/>
      </c>
      <c r="L202">
        <f>IF(AND(E202="Y",F202="Y",G202="Y",H202="Y",I202="Y"),"Y","N")</f>
        <v/>
      </c>
    </row>
    <row r="203">
      <c r="A203">
        <f>'Catalog Master'!A203</f>
        <v/>
      </c>
      <c r="B203">
        <f>'Catalog Master'!B203</f>
        <v/>
      </c>
      <c r="C203">
        <f>'Catalog Master'!O203</f>
        <v/>
      </c>
      <c r="D203">
        <f>'Catalog Master'!F203</f>
        <v/>
      </c>
      <c r="E203">
        <f>IF('Catalog Master'!Q203&lt;&gt;"","Y","N")</f>
        <v/>
      </c>
      <c r="F203">
        <f>IF('Catalog Master'!S203&lt;&gt;"","Y","N")</f>
        <v/>
      </c>
      <c r="G203">
        <f>IF('Catalog Master'!X203&lt;&gt;"","Y","N")</f>
        <v/>
      </c>
      <c r="H203">
        <f>IF('Catalog Master'!V203&lt;&gt;"","Y","N")</f>
        <v/>
      </c>
      <c r="I203">
        <f>IF(AND('Catalog Master'!Z203&lt;&gt;"",'Catalog Master'!AA203&lt;&gt;"",'Catalog Master'!AB203&lt;&gt;""),"Y","N")</f>
        <v/>
      </c>
      <c r="J203">
        <f>'Catalog Master'!N203</f>
        <v/>
      </c>
      <c r="K203">
        <f>'Catalog Master'!AL203</f>
        <v/>
      </c>
      <c r="L203">
        <f>IF(AND(E203="Y",F203="Y",G203="Y",H203="Y",I203="Y"),"Y","N")</f>
        <v/>
      </c>
    </row>
    <row r="204">
      <c r="A204">
        <f>'Catalog Master'!A204</f>
        <v/>
      </c>
      <c r="B204">
        <f>'Catalog Master'!B204</f>
        <v/>
      </c>
      <c r="C204">
        <f>'Catalog Master'!O204</f>
        <v/>
      </c>
      <c r="D204">
        <f>'Catalog Master'!F204</f>
        <v/>
      </c>
      <c r="E204">
        <f>IF('Catalog Master'!Q204&lt;&gt;"","Y","N")</f>
        <v/>
      </c>
      <c r="F204">
        <f>IF('Catalog Master'!S204&lt;&gt;"","Y","N")</f>
        <v/>
      </c>
      <c r="G204">
        <f>IF('Catalog Master'!X204&lt;&gt;"","Y","N")</f>
        <v/>
      </c>
      <c r="H204">
        <f>IF('Catalog Master'!V204&lt;&gt;"","Y","N")</f>
        <v/>
      </c>
      <c r="I204">
        <f>IF(AND('Catalog Master'!Z204&lt;&gt;"",'Catalog Master'!AA204&lt;&gt;"",'Catalog Master'!AB204&lt;&gt;""),"Y","N")</f>
        <v/>
      </c>
      <c r="J204">
        <f>'Catalog Master'!N204</f>
        <v/>
      </c>
      <c r="K204">
        <f>'Catalog Master'!AL204</f>
        <v/>
      </c>
      <c r="L204">
        <f>IF(AND(E204="Y",F204="Y",G204="Y",H204="Y",I204="Y"),"Y","N")</f>
        <v/>
      </c>
    </row>
    <row r="205">
      <c r="A205">
        <f>'Catalog Master'!A205</f>
        <v/>
      </c>
      <c r="B205">
        <f>'Catalog Master'!B205</f>
        <v/>
      </c>
      <c r="C205">
        <f>'Catalog Master'!O205</f>
        <v/>
      </c>
      <c r="D205">
        <f>'Catalog Master'!F205</f>
        <v/>
      </c>
      <c r="E205">
        <f>IF('Catalog Master'!Q205&lt;&gt;"","Y","N")</f>
        <v/>
      </c>
      <c r="F205">
        <f>IF('Catalog Master'!S205&lt;&gt;"","Y","N")</f>
        <v/>
      </c>
      <c r="G205">
        <f>IF('Catalog Master'!X205&lt;&gt;"","Y","N")</f>
        <v/>
      </c>
      <c r="H205">
        <f>IF('Catalog Master'!V205&lt;&gt;"","Y","N")</f>
        <v/>
      </c>
      <c r="I205">
        <f>IF(AND('Catalog Master'!Z205&lt;&gt;"",'Catalog Master'!AA205&lt;&gt;"",'Catalog Master'!AB205&lt;&gt;""),"Y","N")</f>
        <v/>
      </c>
      <c r="J205">
        <f>'Catalog Master'!N205</f>
        <v/>
      </c>
      <c r="K205">
        <f>'Catalog Master'!AL205</f>
        <v/>
      </c>
      <c r="L205">
        <f>IF(AND(E205="Y",F205="Y",G205="Y",H205="Y",I205="Y"),"Y","N")</f>
        <v/>
      </c>
    </row>
    <row r="206">
      <c r="A206">
        <f>'Catalog Master'!A206</f>
        <v/>
      </c>
      <c r="B206">
        <f>'Catalog Master'!B206</f>
        <v/>
      </c>
      <c r="C206">
        <f>'Catalog Master'!O206</f>
        <v/>
      </c>
      <c r="D206">
        <f>'Catalog Master'!F206</f>
        <v/>
      </c>
      <c r="E206">
        <f>IF('Catalog Master'!Q206&lt;&gt;"","Y","N")</f>
        <v/>
      </c>
      <c r="F206">
        <f>IF('Catalog Master'!S206&lt;&gt;"","Y","N")</f>
        <v/>
      </c>
      <c r="G206">
        <f>IF('Catalog Master'!X206&lt;&gt;"","Y","N")</f>
        <v/>
      </c>
      <c r="H206">
        <f>IF('Catalog Master'!V206&lt;&gt;"","Y","N")</f>
        <v/>
      </c>
      <c r="I206">
        <f>IF(AND('Catalog Master'!Z206&lt;&gt;"",'Catalog Master'!AA206&lt;&gt;"",'Catalog Master'!AB206&lt;&gt;""),"Y","N")</f>
        <v/>
      </c>
      <c r="J206">
        <f>'Catalog Master'!N206</f>
        <v/>
      </c>
      <c r="K206">
        <f>'Catalog Master'!AL206</f>
        <v/>
      </c>
      <c r="L206">
        <f>IF(AND(E206="Y",F206="Y",G206="Y",H206="Y",I206="Y"),"Y","N")</f>
        <v/>
      </c>
    </row>
    <row r="207">
      <c r="A207">
        <f>'Catalog Master'!A207</f>
        <v/>
      </c>
      <c r="B207">
        <f>'Catalog Master'!B207</f>
        <v/>
      </c>
      <c r="C207">
        <f>'Catalog Master'!O207</f>
        <v/>
      </c>
      <c r="D207">
        <f>'Catalog Master'!F207</f>
        <v/>
      </c>
      <c r="E207">
        <f>IF('Catalog Master'!Q207&lt;&gt;"","Y","N")</f>
        <v/>
      </c>
      <c r="F207">
        <f>IF('Catalog Master'!S207&lt;&gt;"","Y","N")</f>
        <v/>
      </c>
      <c r="G207">
        <f>IF('Catalog Master'!X207&lt;&gt;"","Y","N")</f>
        <v/>
      </c>
      <c r="H207">
        <f>IF('Catalog Master'!V207&lt;&gt;"","Y","N")</f>
        <v/>
      </c>
      <c r="I207">
        <f>IF(AND('Catalog Master'!Z207&lt;&gt;"",'Catalog Master'!AA207&lt;&gt;"",'Catalog Master'!AB207&lt;&gt;""),"Y","N")</f>
        <v/>
      </c>
      <c r="J207">
        <f>'Catalog Master'!N207</f>
        <v/>
      </c>
      <c r="K207">
        <f>'Catalog Master'!AL207</f>
        <v/>
      </c>
      <c r="L207">
        <f>IF(AND(E207="Y",F207="Y",G207="Y",H207="Y",I207="Y"),"Y","N")</f>
        <v/>
      </c>
    </row>
    <row r="208">
      <c r="A208">
        <f>'Catalog Master'!A208</f>
        <v/>
      </c>
      <c r="B208">
        <f>'Catalog Master'!B208</f>
        <v/>
      </c>
      <c r="C208">
        <f>'Catalog Master'!O208</f>
        <v/>
      </c>
      <c r="D208">
        <f>'Catalog Master'!F208</f>
        <v/>
      </c>
      <c r="E208">
        <f>IF('Catalog Master'!Q208&lt;&gt;"","Y","N")</f>
        <v/>
      </c>
      <c r="F208">
        <f>IF('Catalog Master'!S208&lt;&gt;"","Y","N")</f>
        <v/>
      </c>
      <c r="G208">
        <f>IF('Catalog Master'!X208&lt;&gt;"","Y","N")</f>
        <v/>
      </c>
      <c r="H208">
        <f>IF('Catalog Master'!V208&lt;&gt;"","Y","N")</f>
        <v/>
      </c>
      <c r="I208">
        <f>IF(AND('Catalog Master'!Z208&lt;&gt;"",'Catalog Master'!AA208&lt;&gt;"",'Catalog Master'!AB208&lt;&gt;""),"Y","N")</f>
        <v/>
      </c>
      <c r="J208">
        <f>'Catalog Master'!N208</f>
        <v/>
      </c>
      <c r="K208">
        <f>'Catalog Master'!AL208</f>
        <v/>
      </c>
      <c r="L208">
        <f>IF(AND(E208="Y",F208="Y",G208="Y",H208="Y",I208="Y"),"Y","N")</f>
        <v/>
      </c>
    </row>
    <row r="209">
      <c r="A209">
        <f>'Catalog Master'!A209</f>
        <v/>
      </c>
      <c r="B209">
        <f>'Catalog Master'!B209</f>
        <v/>
      </c>
      <c r="C209">
        <f>'Catalog Master'!O209</f>
        <v/>
      </c>
      <c r="D209">
        <f>'Catalog Master'!F209</f>
        <v/>
      </c>
      <c r="E209">
        <f>IF('Catalog Master'!Q209&lt;&gt;"","Y","N")</f>
        <v/>
      </c>
      <c r="F209">
        <f>IF('Catalog Master'!S209&lt;&gt;"","Y","N")</f>
        <v/>
      </c>
      <c r="G209">
        <f>IF('Catalog Master'!X209&lt;&gt;"","Y","N")</f>
        <v/>
      </c>
      <c r="H209">
        <f>IF('Catalog Master'!V209&lt;&gt;"","Y","N")</f>
        <v/>
      </c>
      <c r="I209">
        <f>IF(AND('Catalog Master'!Z209&lt;&gt;"",'Catalog Master'!AA209&lt;&gt;"",'Catalog Master'!AB209&lt;&gt;""),"Y","N")</f>
        <v/>
      </c>
      <c r="J209">
        <f>'Catalog Master'!N209</f>
        <v/>
      </c>
      <c r="K209">
        <f>'Catalog Master'!AL209</f>
        <v/>
      </c>
      <c r="L209">
        <f>IF(AND(E209="Y",F209="Y",G209="Y",H209="Y",I209="Y"),"Y","N")</f>
        <v/>
      </c>
    </row>
    <row r="210">
      <c r="A210">
        <f>'Catalog Master'!A210</f>
        <v/>
      </c>
      <c r="B210">
        <f>'Catalog Master'!B210</f>
        <v/>
      </c>
      <c r="C210">
        <f>'Catalog Master'!O210</f>
        <v/>
      </c>
      <c r="D210">
        <f>'Catalog Master'!F210</f>
        <v/>
      </c>
      <c r="E210">
        <f>IF('Catalog Master'!Q210&lt;&gt;"","Y","N")</f>
        <v/>
      </c>
      <c r="F210">
        <f>IF('Catalog Master'!S210&lt;&gt;"","Y","N")</f>
        <v/>
      </c>
      <c r="G210">
        <f>IF('Catalog Master'!X210&lt;&gt;"","Y","N")</f>
        <v/>
      </c>
      <c r="H210">
        <f>IF('Catalog Master'!V210&lt;&gt;"","Y","N")</f>
        <v/>
      </c>
      <c r="I210">
        <f>IF(AND('Catalog Master'!Z210&lt;&gt;"",'Catalog Master'!AA210&lt;&gt;"",'Catalog Master'!AB210&lt;&gt;""),"Y","N")</f>
        <v/>
      </c>
      <c r="J210">
        <f>'Catalog Master'!N210</f>
        <v/>
      </c>
      <c r="K210">
        <f>'Catalog Master'!AL210</f>
        <v/>
      </c>
      <c r="L210">
        <f>IF(AND(E210="Y",F210="Y",G210="Y",H210="Y",I210="Y"),"Y","N")</f>
        <v/>
      </c>
    </row>
    <row r="211">
      <c r="A211">
        <f>'Catalog Master'!A211</f>
        <v/>
      </c>
      <c r="B211">
        <f>'Catalog Master'!B211</f>
        <v/>
      </c>
      <c r="C211">
        <f>'Catalog Master'!O211</f>
        <v/>
      </c>
      <c r="D211">
        <f>'Catalog Master'!F211</f>
        <v/>
      </c>
      <c r="E211">
        <f>IF('Catalog Master'!Q211&lt;&gt;"","Y","N")</f>
        <v/>
      </c>
      <c r="F211">
        <f>IF('Catalog Master'!S211&lt;&gt;"","Y","N")</f>
        <v/>
      </c>
      <c r="G211">
        <f>IF('Catalog Master'!X211&lt;&gt;"","Y","N")</f>
        <v/>
      </c>
      <c r="H211">
        <f>IF('Catalog Master'!V211&lt;&gt;"","Y","N")</f>
        <v/>
      </c>
      <c r="I211">
        <f>IF(AND('Catalog Master'!Z211&lt;&gt;"",'Catalog Master'!AA211&lt;&gt;"",'Catalog Master'!AB211&lt;&gt;""),"Y","N")</f>
        <v/>
      </c>
      <c r="J211">
        <f>'Catalog Master'!N211</f>
        <v/>
      </c>
      <c r="K211">
        <f>'Catalog Master'!AL211</f>
        <v/>
      </c>
      <c r="L211">
        <f>IF(AND(E211="Y",F211="Y",G211="Y",H211="Y",I211="Y"),"Y","N")</f>
        <v/>
      </c>
    </row>
    <row r="212">
      <c r="A212">
        <f>'Catalog Master'!A212</f>
        <v/>
      </c>
      <c r="B212">
        <f>'Catalog Master'!B212</f>
        <v/>
      </c>
      <c r="C212">
        <f>'Catalog Master'!O212</f>
        <v/>
      </c>
      <c r="D212">
        <f>'Catalog Master'!F212</f>
        <v/>
      </c>
      <c r="E212">
        <f>IF('Catalog Master'!Q212&lt;&gt;"","Y","N")</f>
        <v/>
      </c>
      <c r="F212">
        <f>IF('Catalog Master'!S212&lt;&gt;"","Y","N")</f>
        <v/>
      </c>
      <c r="G212">
        <f>IF('Catalog Master'!X212&lt;&gt;"","Y","N")</f>
        <v/>
      </c>
      <c r="H212">
        <f>IF('Catalog Master'!V212&lt;&gt;"","Y","N")</f>
        <v/>
      </c>
      <c r="I212">
        <f>IF(AND('Catalog Master'!Z212&lt;&gt;"",'Catalog Master'!AA212&lt;&gt;"",'Catalog Master'!AB212&lt;&gt;""),"Y","N")</f>
        <v/>
      </c>
      <c r="J212">
        <f>'Catalog Master'!N212</f>
        <v/>
      </c>
      <c r="K212">
        <f>'Catalog Master'!AL212</f>
        <v/>
      </c>
      <c r="L212">
        <f>IF(AND(E212="Y",F212="Y",G212="Y",H212="Y",I212="Y"),"Y","N")</f>
        <v/>
      </c>
    </row>
    <row r="213">
      <c r="A213">
        <f>'Catalog Master'!A213</f>
        <v/>
      </c>
      <c r="B213">
        <f>'Catalog Master'!B213</f>
        <v/>
      </c>
      <c r="C213">
        <f>'Catalog Master'!O213</f>
        <v/>
      </c>
      <c r="D213">
        <f>'Catalog Master'!F213</f>
        <v/>
      </c>
      <c r="E213">
        <f>IF('Catalog Master'!Q213&lt;&gt;"","Y","N")</f>
        <v/>
      </c>
      <c r="F213">
        <f>IF('Catalog Master'!S213&lt;&gt;"","Y","N")</f>
        <v/>
      </c>
      <c r="G213">
        <f>IF('Catalog Master'!X213&lt;&gt;"","Y","N")</f>
        <v/>
      </c>
      <c r="H213">
        <f>IF('Catalog Master'!V213&lt;&gt;"","Y","N")</f>
        <v/>
      </c>
      <c r="I213">
        <f>IF(AND('Catalog Master'!Z213&lt;&gt;"",'Catalog Master'!AA213&lt;&gt;"",'Catalog Master'!AB213&lt;&gt;""),"Y","N")</f>
        <v/>
      </c>
      <c r="J213">
        <f>'Catalog Master'!N213</f>
        <v/>
      </c>
      <c r="K213">
        <f>'Catalog Master'!AL213</f>
        <v/>
      </c>
      <c r="L213">
        <f>IF(AND(E213="Y",F213="Y",G213="Y",H213="Y",I213="Y"),"Y","N")</f>
        <v/>
      </c>
    </row>
    <row r="214">
      <c r="A214">
        <f>'Catalog Master'!A214</f>
        <v/>
      </c>
      <c r="B214">
        <f>'Catalog Master'!B214</f>
        <v/>
      </c>
      <c r="C214">
        <f>'Catalog Master'!O214</f>
        <v/>
      </c>
      <c r="D214">
        <f>'Catalog Master'!F214</f>
        <v/>
      </c>
      <c r="E214">
        <f>IF('Catalog Master'!Q214&lt;&gt;"","Y","N")</f>
        <v/>
      </c>
      <c r="F214">
        <f>IF('Catalog Master'!S214&lt;&gt;"","Y","N")</f>
        <v/>
      </c>
      <c r="G214">
        <f>IF('Catalog Master'!X214&lt;&gt;"","Y","N")</f>
        <v/>
      </c>
      <c r="H214">
        <f>IF('Catalog Master'!V214&lt;&gt;"","Y","N")</f>
        <v/>
      </c>
      <c r="I214">
        <f>IF(AND('Catalog Master'!Z214&lt;&gt;"",'Catalog Master'!AA214&lt;&gt;"",'Catalog Master'!AB214&lt;&gt;""),"Y","N")</f>
        <v/>
      </c>
      <c r="J214">
        <f>'Catalog Master'!N214</f>
        <v/>
      </c>
      <c r="K214">
        <f>'Catalog Master'!AL214</f>
        <v/>
      </c>
      <c r="L214">
        <f>IF(AND(E214="Y",F214="Y",G214="Y",H214="Y",I214="Y"),"Y","N")</f>
        <v/>
      </c>
    </row>
    <row r="215">
      <c r="A215">
        <f>'Catalog Master'!A215</f>
        <v/>
      </c>
      <c r="B215">
        <f>'Catalog Master'!B215</f>
        <v/>
      </c>
      <c r="C215">
        <f>'Catalog Master'!O215</f>
        <v/>
      </c>
      <c r="D215">
        <f>'Catalog Master'!F215</f>
        <v/>
      </c>
      <c r="E215">
        <f>IF('Catalog Master'!Q215&lt;&gt;"","Y","N")</f>
        <v/>
      </c>
      <c r="F215">
        <f>IF('Catalog Master'!S215&lt;&gt;"","Y","N")</f>
        <v/>
      </c>
      <c r="G215">
        <f>IF('Catalog Master'!X215&lt;&gt;"","Y","N")</f>
        <v/>
      </c>
      <c r="H215">
        <f>IF('Catalog Master'!V215&lt;&gt;"","Y","N")</f>
        <v/>
      </c>
      <c r="I215">
        <f>IF(AND('Catalog Master'!Z215&lt;&gt;"",'Catalog Master'!AA215&lt;&gt;"",'Catalog Master'!AB215&lt;&gt;""),"Y","N")</f>
        <v/>
      </c>
      <c r="J215">
        <f>'Catalog Master'!N215</f>
        <v/>
      </c>
      <c r="K215">
        <f>'Catalog Master'!AL215</f>
        <v/>
      </c>
      <c r="L215">
        <f>IF(AND(E215="Y",F215="Y",G215="Y",H215="Y",I215="Y"),"Y","N")</f>
        <v/>
      </c>
    </row>
    <row r="216">
      <c r="A216">
        <f>'Catalog Master'!A216</f>
        <v/>
      </c>
      <c r="B216">
        <f>'Catalog Master'!B216</f>
        <v/>
      </c>
      <c r="C216">
        <f>'Catalog Master'!O216</f>
        <v/>
      </c>
      <c r="D216">
        <f>'Catalog Master'!F216</f>
        <v/>
      </c>
      <c r="E216">
        <f>IF('Catalog Master'!Q216&lt;&gt;"","Y","N")</f>
        <v/>
      </c>
      <c r="F216">
        <f>IF('Catalog Master'!S216&lt;&gt;"","Y","N")</f>
        <v/>
      </c>
      <c r="G216">
        <f>IF('Catalog Master'!X216&lt;&gt;"","Y","N")</f>
        <v/>
      </c>
      <c r="H216">
        <f>IF('Catalog Master'!V216&lt;&gt;"","Y","N")</f>
        <v/>
      </c>
      <c r="I216">
        <f>IF(AND('Catalog Master'!Z216&lt;&gt;"",'Catalog Master'!AA216&lt;&gt;"",'Catalog Master'!AB216&lt;&gt;""),"Y","N")</f>
        <v/>
      </c>
      <c r="J216">
        <f>'Catalog Master'!N216</f>
        <v/>
      </c>
      <c r="K216">
        <f>'Catalog Master'!AL216</f>
        <v/>
      </c>
      <c r="L216">
        <f>IF(AND(E216="Y",F216="Y",G216="Y",H216="Y",I216="Y"),"Y","N")</f>
        <v/>
      </c>
    </row>
    <row r="217">
      <c r="A217">
        <f>'Catalog Master'!A217</f>
        <v/>
      </c>
      <c r="B217">
        <f>'Catalog Master'!B217</f>
        <v/>
      </c>
      <c r="C217">
        <f>'Catalog Master'!O217</f>
        <v/>
      </c>
      <c r="D217">
        <f>'Catalog Master'!F217</f>
        <v/>
      </c>
      <c r="E217">
        <f>IF('Catalog Master'!Q217&lt;&gt;"","Y","N")</f>
        <v/>
      </c>
      <c r="F217">
        <f>IF('Catalog Master'!S217&lt;&gt;"","Y","N")</f>
        <v/>
      </c>
      <c r="G217">
        <f>IF('Catalog Master'!X217&lt;&gt;"","Y","N")</f>
        <v/>
      </c>
      <c r="H217">
        <f>IF('Catalog Master'!V217&lt;&gt;"","Y","N")</f>
        <v/>
      </c>
      <c r="I217">
        <f>IF(AND('Catalog Master'!Z217&lt;&gt;"",'Catalog Master'!AA217&lt;&gt;"",'Catalog Master'!AB217&lt;&gt;""),"Y","N")</f>
        <v/>
      </c>
      <c r="J217">
        <f>'Catalog Master'!N217</f>
        <v/>
      </c>
      <c r="K217">
        <f>'Catalog Master'!AL217</f>
        <v/>
      </c>
      <c r="L217">
        <f>IF(AND(E217="Y",F217="Y",G217="Y",H217="Y",I217="Y"),"Y","N")</f>
        <v/>
      </c>
    </row>
    <row r="218">
      <c r="A218">
        <f>'Catalog Master'!A218</f>
        <v/>
      </c>
      <c r="B218">
        <f>'Catalog Master'!B218</f>
        <v/>
      </c>
      <c r="C218">
        <f>'Catalog Master'!O218</f>
        <v/>
      </c>
      <c r="D218">
        <f>'Catalog Master'!F218</f>
        <v/>
      </c>
      <c r="E218">
        <f>IF('Catalog Master'!Q218&lt;&gt;"","Y","N")</f>
        <v/>
      </c>
      <c r="F218">
        <f>IF('Catalog Master'!S218&lt;&gt;"","Y","N")</f>
        <v/>
      </c>
      <c r="G218">
        <f>IF('Catalog Master'!X218&lt;&gt;"","Y","N")</f>
        <v/>
      </c>
      <c r="H218">
        <f>IF('Catalog Master'!V218&lt;&gt;"","Y","N")</f>
        <v/>
      </c>
      <c r="I218">
        <f>IF(AND('Catalog Master'!Z218&lt;&gt;"",'Catalog Master'!AA218&lt;&gt;"",'Catalog Master'!AB218&lt;&gt;""),"Y","N")</f>
        <v/>
      </c>
      <c r="J218">
        <f>'Catalog Master'!N218</f>
        <v/>
      </c>
      <c r="K218">
        <f>'Catalog Master'!AL218</f>
        <v/>
      </c>
      <c r="L218">
        <f>IF(AND(E218="Y",F218="Y",G218="Y",H218="Y",I218="Y"),"Y","N")</f>
        <v/>
      </c>
    </row>
    <row r="219">
      <c r="A219">
        <f>'Catalog Master'!A219</f>
        <v/>
      </c>
      <c r="B219">
        <f>'Catalog Master'!B219</f>
        <v/>
      </c>
      <c r="C219">
        <f>'Catalog Master'!O219</f>
        <v/>
      </c>
      <c r="D219">
        <f>'Catalog Master'!F219</f>
        <v/>
      </c>
      <c r="E219">
        <f>IF('Catalog Master'!Q219&lt;&gt;"","Y","N")</f>
        <v/>
      </c>
      <c r="F219">
        <f>IF('Catalog Master'!S219&lt;&gt;"","Y","N")</f>
        <v/>
      </c>
      <c r="G219">
        <f>IF('Catalog Master'!X219&lt;&gt;"","Y","N")</f>
        <v/>
      </c>
      <c r="H219">
        <f>IF('Catalog Master'!V219&lt;&gt;"","Y","N")</f>
        <v/>
      </c>
      <c r="I219">
        <f>IF(AND('Catalog Master'!Z219&lt;&gt;"",'Catalog Master'!AA219&lt;&gt;"",'Catalog Master'!AB219&lt;&gt;""),"Y","N")</f>
        <v/>
      </c>
      <c r="J219">
        <f>'Catalog Master'!N219</f>
        <v/>
      </c>
      <c r="K219">
        <f>'Catalog Master'!AL219</f>
        <v/>
      </c>
      <c r="L219">
        <f>IF(AND(E219="Y",F219="Y",G219="Y",H219="Y",I219="Y"),"Y","N")</f>
        <v/>
      </c>
    </row>
    <row r="220">
      <c r="A220">
        <f>'Catalog Master'!A220</f>
        <v/>
      </c>
      <c r="B220">
        <f>'Catalog Master'!B220</f>
        <v/>
      </c>
      <c r="C220">
        <f>'Catalog Master'!O220</f>
        <v/>
      </c>
      <c r="D220">
        <f>'Catalog Master'!F220</f>
        <v/>
      </c>
      <c r="E220">
        <f>IF('Catalog Master'!Q220&lt;&gt;"","Y","N")</f>
        <v/>
      </c>
      <c r="F220">
        <f>IF('Catalog Master'!S220&lt;&gt;"","Y","N")</f>
        <v/>
      </c>
      <c r="G220">
        <f>IF('Catalog Master'!X220&lt;&gt;"","Y","N")</f>
        <v/>
      </c>
      <c r="H220">
        <f>IF('Catalog Master'!V220&lt;&gt;"","Y","N")</f>
        <v/>
      </c>
      <c r="I220">
        <f>IF(AND('Catalog Master'!Z220&lt;&gt;"",'Catalog Master'!AA220&lt;&gt;"",'Catalog Master'!AB220&lt;&gt;""),"Y","N")</f>
        <v/>
      </c>
      <c r="J220">
        <f>'Catalog Master'!N220</f>
        <v/>
      </c>
      <c r="K220">
        <f>'Catalog Master'!AL220</f>
        <v/>
      </c>
      <c r="L220">
        <f>IF(AND(E220="Y",F220="Y",G220="Y",H220="Y",I220="Y"),"Y","N")</f>
        <v/>
      </c>
    </row>
    <row r="221">
      <c r="A221">
        <f>'Catalog Master'!A221</f>
        <v/>
      </c>
      <c r="B221">
        <f>'Catalog Master'!B221</f>
        <v/>
      </c>
      <c r="C221">
        <f>'Catalog Master'!O221</f>
        <v/>
      </c>
      <c r="D221">
        <f>'Catalog Master'!F221</f>
        <v/>
      </c>
      <c r="E221">
        <f>IF('Catalog Master'!Q221&lt;&gt;"","Y","N")</f>
        <v/>
      </c>
      <c r="F221">
        <f>IF('Catalog Master'!S221&lt;&gt;"","Y","N")</f>
        <v/>
      </c>
      <c r="G221">
        <f>IF('Catalog Master'!X221&lt;&gt;"","Y","N")</f>
        <v/>
      </c>
      <c r="H221">
        <f>IF('Catalog Master'!V221&lt;&gt;"","Y","N")</f>
        <v/>
      </c>
      <c r="I221">
        <f>IF(AND('Catalog Master'!Z221&lt;&gt;"",'Catalog Master'!AA221&lt;&gt;"",'Catalog Master'!AB221&lt;&gt;""),"Y","N")</f>
        <v/>
      </c>
      <c r="J221">
        <f>'Catalog Master'!N221</f>
        <v/>
      </c>
      <c r="K221">
        <f>'Catalog Master'!AL221</f>
        <v/>
      </c>
      <c r="L221">
        <f>IF(AND(E221="Y",F221="Y",G221="Y",H221="Y",I221="Y"),"Y","N")</f>
        <v/>
      </c>
    </row>
    <row r="222">
      <c r="A222">
        <f>'Catalog Master'!A222</f>
        <v/>
      </c>
      <c r="B222">
        <f>'Catalog Master'!B222</f>
        <v/>
      </c>
      <c r="C222">
        <f>'Catalog Master'!O222</f>
        <v/>
      </c>
      <c r="D222">
        <f>'Catalog Master'!F222</f>
        <v/>
      </c>
      <c r="E222">
        <f>IF('Catalog Master'!Q222&lt;&gt;"","Y","N")</f>
        <v/>
      </c>
      <c r="F222">
        <f>IF('Catalog Master'!S222&lt;&gt;"","Y","N")</f>
        <v/>
      </c>
      <c r="G222">
        <f>IF('Catalog Master'!X222&lt;&gt;"","Y","N")</f>
        <v/>
      </c>
      <c r="H222">
        <f>IF('Catalog Master'!V222&lt;&gt;"","Y","N")</f>
        <v/>
      </c>
      <c r="I222">
        <f>IF(AND('Catalog Master'!Z222&lt;&gt;"",'Catalog Master'!AA222&lt;&gt;"",'Catalog Master'!AB222&lt;&gt;""),"Y","N")</f>
        <v/>
      </c>
      <c r="J222">
        <f>'Catalog Master'!N222</f>
        <v/>
      </c>
      <c r="K222">
        <f>'Catalog Master'!AL222</f>
        <v/>
      </c>
      <c r="L222">
        <f>IF(AND(E222="Y",F222="Y",G222="Y",H222="Y",I222="Y"),"Y","N")</f>
        <v/>
      </c>
    </row>
    <row r="223">
      <c r="A223">
        <f>'Catalog Master'!A223</f>
        <v/>
      </c>
      <c r="B223">
        <f>'Catalog Master'!B223</f>
        <v/>
      </c>
      <c r="C223">
        <f>'Catalog Master'!O223</f>
        <v/>
      </c>
      <c r="D223">
        <f>'Catalog Master'!F223</f>
        <v/>
      </c>
      <c r="E223">
        <f>IF('Catalog Master'!Q223&lt;&gt;"","Y","N")</f>
        <v/>
      </c>
      <c r="F223">
        <f>IF('Catalog Master'!S223&lt;&gt;"","Y","N")</f>
        <v/>
      </c>
      <c r="G223">
        <f>IF('Catalog Master'!X223&lt;&gt;"","Y","N")</f>
        <v/>
      </c>
      <c r="H223">
        <f>IF('Catalog Master'!V223&lt;&gt;"","Y","N")</f>
        <v/>
      </c>
      <c r="I223">
        <f>IF(AND('Catalog Master'!Z223&lt;&gt;"",'Catalog Master'!AA223&lt;&gt;"",'Catalog Master'!AB223&lt;&gt;""),"Y","N")</f>
        <v/>
      </c>
      <c r="J223">
        <f>'Catalog Master'!N223</f>
        <v/>
      </c>
      <c r="K223">
        <f>'Catalog Master'!AL223</f>
        <v/>
      </c>
      <c r="L223">
        <f>IF(AND(E223="Y",F223="Y",G223="Y",H223="Y",I223="Y"),"Y","N")</f>
        <v/>
      </c>
    </row>
    <row r="224">
      <c r="A224">
        <f>'Catalog Master'!A224</f>
        <v/>
      </c>
      <c r="B224">
        <f>'Catalog Master'!B224</f>
        <v/>
      </c>
      <c r="C224">
        <f>'Catalog Master'!O224</f>
        <v/>
      </c>
      <c r="D224">
        <f>'Catalog Master'!F224</f>
        <v/>
      </c>
      <c r="E224">
        <f>IF('Catalog Master'!Q224&lt;&gt;"","Y","N")</f>
        <v/>
      </c>
      <c r="F224">
        <f>IF('Catalog Master'!S224&lt;&gt;"","Y","N")</f>
        <v/>
      </c>
      <c r="G224">
        <f>IF('Catalog Master'!X224&lt;&gt;"","Y","N")</f>
        <v/>
      </c>
      <c r="H224">
        <f>IF('Catalog Master'!V224&lt;&gt;"","Y","N")</f>
        <v/>
      </c>
      <c r="I224">
        <f>IF(AND('Catalog Master'!Z224&lt;&gt;"",'Catalog Master'!AA224&lt;&gt;"",'Catalog Master'!AB224&lt;&gt;""),"Y","N")</f>
        <v/>
      </c>
      <c r="J224">
        <f>'Catalog Master'!N224</f>
        <v/>
      </c>
      <c r="K224">
        <f>'Catalog Master'!AL224</f>
        <v/>
      </c>
      <c r="L224">
        <f>IF(AND(E224="Y",F224="Y",G224="Y",H224="Y",I224="Y"),"Y","N")</f>
        <v/>
      </c>
    </row>
    <row r="225">
      <c r="A225">
        <f>'Catalog Master'!A225</f>
        <v/>
      </c>
      <c r="B225">
        <f>'Catalog Master'!B225</f>
        <v/>
      </c>
      <c r="C225">
        <f>'Catalog Master'!O225</f>
        <v/>
      </c>
      <c r="D225">
        <f>'Catalog Master'!F225</f>
        <v/>
      </c>
      <c r="E225">
        <f>IF('Catalog Master'!Q225&lt;&gt;"","Y","N")</f>
        <v/>
      </c>
      <c r="F225">
        <f>IF('Catalog Master'!S225&lt;&gt;"","Y","N")</f>
        <v/>
      </c>
      <c r="G225">
        <f>IF('Catalog Master'!X225&lt;&gt;"","Y","N")</f>
        <v/>
      </c>
      <c r="H225">
        <f>IF('Catalog Master'!V225&lt;&gt;"","Y","N")</f>
        <v/>
      </c>
      <c r="I225">
        <f>IF(AND('Catalog Master'!Z225&lt;&gt;"",'Catalog Master'!AA225&lt;&gt;"",'Catalog Master'!AB225&lt;&gt;""),"Y","N")</f>
        <v/>
      </c>
      <c r="J225">
        <f>'Catalog Master'!N225</f>
        <v/>
      </c>
      <c r="K225">
        <f>'Catalog Master'!AL225</f>
        <v/>
      </c>
      <c r="L225">
        <f>IF(AND(E225="Y",F225="Y",G225="Y",H225="Y",I225="Y"),"Y","N")</f>
        <v/>
      </c>
    </row>
    <row r="226">
      <c r="A226">
        <f>'Catalog Master'!A226</f>
        <v/>
      </c>
      <c r="B226">
        <f>'Catalog Master'!B226</f>
        <v/>
      </c>
      <c r="C226">
        <f>'Catalog Master'!O226</f>
        <v/>
      </c>
      <c r="D226">
        <f>'Catalog Master'!F226</f>
        <v/>
      </c>
      <c r="E226">
        <f>IF('Catalog Master'!Q226&lt;&gt;"","Y","N")</f>
        <v/>
      </c>
      <c r="F226">
        <f>IF('Catalog Master'!S226&lt;&gt;"","Y","N")</f>
        <v/>
      </c>
      <c r="G226">
        <f>IF('Catalog Master'!X226&lt;&gt;"","Y","N")</f>
        <v/>
      </c>
      <c r="H226">
        <f>IF('Catalog Master'!V226&lt;&gt;"","Y","N")</f>
        <v/>
      </c>
      <c r="I226">
        <f>IF(AND('Catalog Master'!Z226&lt;&gt;"",'Catalog Master'!AA226&lt;&gt;"",'Catalog Master'!AB226&lt;&gt;""),"Y","N")</f>
        <v/>
      </c>
      <c r="J226">
        <f>'Catalog Master'!N226</f>
        <v/>
      </c>
      <c r="K226">
        <f>'Catalog Master'!AL226</f>
        <v/>
      </c>
      <c r="L226">
        <f>IF(AND(E226="Y",F226="Y",G226="Y",H226="Y",I226="Y"),"Y","N")</f>
        <v/>
      </c>
    </row>
    <row r="227">
      <c r="A227">
        <f>'Catalog Master'!A227</f>
        <v/>
      </c>
      <c r="B227">
        <f>'Catalog Master'!B227</f>
        <v/>
      </c>
      <c r="C227">
        <f>'Catalog Master'!O227</f>
        <v/>
      </c>
      <c r="D227">
        <f>'Catalog Master'!F227</f>
        <v/>
      </c>
      <c r="E227">
        <f>IF('Catalog Master'!Q227&lt;&gt;"","Y","N")</f>
        <v/>
      </c>
      <c r="F227">
        <f>IF('Catalog Master'!S227&lt;&gt;"","Y","N")</f>
        <v/>
      </c>
      <c r="G227">
        <f>IF('Catalog Master'!X227&lt;&gt;"","Y","N")</f>
        <v/>
      </c>
      <c r="H227">
        <f>IF('Catalog Master'!V227&lt;&gt;"","Y","N")</f>
        <v/>
      </c>
      <c r="I227">
        <f>IF(AND('Catalog Master'!Z227&lt;&gt;"",'Catalog Master'!AA227&lt;&gt;"",'Catalog Master'!AB227&lt;&gt;""),"Y","N")</f>
        <v/>
      </c>
      <c r="J227">
        <f>'Catalog Master'!N227</f>
        <v/>
      </c>
      <c r="K227">
        <f>'Catalog Master'!AL227</f>
        <v/>
      </c>
      <c r="L227">
        <f>IF(AND(E227="Y",F227="Y",G227="Y",H227="Y",I227="Y"),"Y","N")</f>
        <v/>
      </c>
    </row>
    <row r="228">
      <c r="A228">
        <f>'Catalog Master'!A228</f>
        <v/>
      </c>
      <c r="B228">
        <f>'Catalog Master'!B228</f>
        <v/>
      </c>
      <c r="C228">
        <f>'Catalog Master'!O228</f>
        <v/>
      </c>
      <c r="D228">
        <f>'Catalog Master'!F228</f>
        <v/>
      </c>
      <c r="E228">
        <f>IF('Catalog Master'!Q228&lt;&gt;"","Y","N")</f>
        <v/>
      </c>
      <c r="F228">
        <f>IF('Catalog Master'!S228&lt;&gt;"","Y","N")</f>
        <v/>
      </c>
      <c r="G228">
        <f>IF('Catalog Master'!X228&lt;&gt;"","Y","N")</f>
        <v/>
      </c>
      <c r="H228">
        <f>IF('Catalog Master'!V228&lt;&gt;"","Y","N")</f>
        <v/>
      </c>
      <c r="I228">
        <f>IF(AND('Catalog Master'!Z228&lt;&gt;"",'Catalog Master'!AA228&lt;&gt;"",'Catalog Master'!AB228&lt;&gt;""),"Y","N")</f>
        <v/>
      </c>
      <c r="J228">
        <f>'Catalog Master'!N228</f>
        <v/>
      </c>
      <c r="K228">
        <f>'Catalog Master'!AL228</f>
        <v/>
      </c>
      <c r="L228">
        <f>IF(AND(E228="Y",F228="Y",G228="Y",H228="Y",I228="Y"),"Y","N")</f>
        <v/>
      </c>
    </row>
    <row r="229">
      <c r="A229">
        <f>'Catalog Master'!A229</f>
        <v/>
      </c>
      <c r="B229">
        <f>'Catalog Master'!B229</f>
        <v/>
      </c>
      <c r="C229">
        <f>'Catalog Master'!O229</f>
        <v/>
      </c>
      <c r="D229">
        <f>'Catalog Master'!F229</f>
        <v/>
      </c>
      <c r="E229">
        <f>IF('Catalog Master'!Q229&lt;&gt;"","Y","N")</f>
        <v/>
      </c>
      <c r="F229">
        <f>IF('Catalog Master'!S229&lt;&gt;"","Y","N")</f>
        <v/>
      </c>
      <c r="G229">
        <f>IF('Catalog Master'!X229&lt;&gt;"","Y","N")</f>
        <v/>
      </c>
      <c r="H229">
        <f>IF('Catalog Master'!V229&lt;&gt;"","Y","N")</f>
        <v/>
      </c>
      <c r="I229">
        <f>IF(AND('Catalog Master'!Z229&lt;&gt;"",'Catalog Master'!AA229&lt;&gt;"",'Catalog Master'!AB229&lt;&gt;""),"Y","N")</f>
        <v/>
      </c>
      <c r="J229">
        <f>'Catalog Master'!N229</f>
        <v/>
      </c>
      <c r="K229">
        <f>'Catalog Master'!AL229</f>
        <v/>
      </c>
      <c r="L229">
        <f>IF(AND(E229="Y",F229="Y",G229="Y",H229="Y",I229="Y"),"Y","N")</f>
        <v/>
      </c>
    </row>
    <row r="230">
      <c r="A230">
        <f>'Catalog Master'!A230</f>
        <v/>
      </c>
      <c r="B230">
        <f>'Catalog Master'!B230</f>
        <v/>
      </c>
      <c r="C230">
        <f>'Catalog Master'!O230</f>
        <v/>
      </c>
      <c r="D230">
        <f>'Catalog Master'!F230</f>
        <v/>
      </c>
      <c r="E230">
        <f>IF('Catalog Master'!Q230&lt;&gt;"","Y","N")</f>
        <v/>
      </c>
      <c r="F230">
        <f>IF('Catalog Master'!S230&lt;&gt;"","Y","N")</f>
        <v/>
      </c>
      <c r="G230">
        <f>IF('Catalog Master'!X230&lt;&gt;"","Y","N")</f>
        <v/>
      </c>
      <c r="H230">
        <f>IF('Catalog Master'!V230&lt;&gt;"","Y","N")</f>
        <v/>
      </c>
      <c r="I230">
        <f>IF(AND('Catalog Master'!Z230&lt;&gt;"",'Catalog Master'!AA230&lt;&gt;"",'Catalog Master'!AB230&lt;&gt;""),"Y","N")</f>
        <v/>
      </c>
      <c r="J230">
        <f>'Catalog Master'!N230</f>
        <v/>
      </c>
      <c r="K230">
        <f>'Catalog Master'!AL230</f>
        <v/>
      </c>
      <c r="L230">
        <f>IF(AND(E230="Y",F230="Y",G230="Y",H230="Y",I230="Y"),"Y","N")</f>
        <v/>
      </c>
    </row>
    <row r="231">
      <c r="A231">
        <f>'Catalog Master'!A231</f>
        <v/>
      </c>
      <c r="B231">
        <f>'Catalog Master'!B231</f>
        <v/>
      </c>
      <c r="C231">
        <f>'Catalog Master'!O231</f>
        <v/>
      </c>
      <c r="D231">
        <f>'Catalog Master'!F231</f>
        <v/>
      </c>
      <c r="E231">
        <f>IF('Catalog Master'!Q231&lt;&gt;"","Y","N")</f>
        <v/>
      </c>
      <c r="F231">
        <f>IF('Catalog Master'!S231&lt;&gt;"","Y","N")</f>
        <v/>
      </c>
      <c r="G231">
        <f>IF('Catalog Master'!X231&lt;&gt;"","Y","N")</f>
        <v/>
      </c>
      <c r="H231">
        <f>IF('Catalog Master'!V231&lt;&gt;"","Y","N")</f>
        <v/>
      </c>
      <c r="I231">
        <f>IF(AND('Catalog Master'!Z231&lt;&gt;"",'Catalog Master'!AA231&lt;&gt;"",'Catalog Master'!AB231&lt;&gt;""),"Y","N")</f>
        <v/>
      </c>
      <c r="J231">
        <f>'Catalog Master'!N231</f>
        <v/>
      </c>
      <c r="K231">
        <f>'Catalog Master'!AL231</f>
        <v/>
      </c>
      <c r="L231">
        <f>IF(AND(E231="Y",F231="Y",G231="Y",H231="Y",I231="Y"),"Y","N")</f>
        <v/>
      </c>
    </row>
    <row r="232">
      <c r="A232">
        <f>'Catalog Master'!A232</f>
        <v/>
      </c>
      <c r="B232">
        <f>'Catalog Master'!B232</f>
        <v/>
      </c>
      <c r="C232">
        <f>'Catalog Master'!O232</f>
        <v/>
      </c>
      <c r="D232">
        <f>'Catalog Master'!F232</f>
        <v/>
      </c>
      <c r="E232">
        <f>IF('Catalog Master'!Q232&lt;&gt;"","Y","N")</f>
        <v/>
      </c>
      <c r="F232">
        <f>IF('Catalog Master'!S232&lt;&gt;"","Y","N")</f>
        <v/>
      </c>
      <c r="G232">
        <f>IF('Catalog Master'!X232&lt;&gt;"","Y","N")</f>
        <v/>
      </c>
      <c r="H232">
        <f>IF('Catalog Master'!V232&lt;&gt;"","Y","N")</f>
        <v/>
      </c>
      <c r="I232">
        <f>IF(AND('Catalog Master'!Z232&lt;&gt;"",'Catalog Master'!AA232&lt;&gt;"",'Catalog Master'!AB232&lt;&gt;""),"Y","N")</f>
        <v/>
      </c>
      <c r="J232">
        <f>'Catalog Master'!N232</f>
        <v/>
      </c>
      <c r="K232">
        <f>'Catalog Master'!AL232</f>
        <v/>
      </c>
      <c r="L232">
        <f>IF(AND(E232="Y",F232="Y",G232="Y",H232="Y",I232="Y"),"Y","N")</f>
        <v/>
      </c>
    </row>
    <row r="233">
      <c r="A233">
        <f>'Catalog Master'!A233</f>
        <v/>
      </c>
      <c r="B233">
        <f>'Catalog Master'!B233</f>
        <v/>
      </c>
      <c r="C233">
        <f>'Catalog Master'!O233</f>
        <v/>
      </c>
      <c r="D233">
        <f>'Catalog Master'!F233</f>
        <v/>
      </c>
      <c r="E233">
        <f>IF('Catalog Master'!Q233&lt;&gt;"","Y","N")</f>
        <v/>
      </c>
      <c r="F233">
        <f>IF('Catalog Master'!S233&lt;&gt;"","Y","N")</f>
        <v/>
      </c>
      <c r="G233">
        <f>IF('Catalog Master'!X233&lt;&gt;"","Y","N")</f>
        <v/>
      </c>
      <c r="H233">
        <f>IF('Catalog Master'!V233&lt;&gt;"","Y","N")</f>
        <v/>
      </c>
      <c r="I233">
        <f>IF(AND('Catalog Master'!Z233&lt;&gt;"",'Catalog Master'!AA233&lt;&gt;"",'Catalog Master'!AB233&lt;&gt;""),"Y","N")</f>
        <v/>
      </c>
      <c r="J233">
        <f>'Catalog Master'!N233</f>
        <v/>
      </c>
      <c r="K233">
        <f>'Catalog Master'!AL233</f>
        <v/>
      </c>
      <c r="L233">
        <f>IF(AND(E233="Y",F233="Y",G233="Y",H233="Y",I233="Y"),"Y","N")</f>
        <v/>
      </c>
    </row>
    <row r="234">
      <c r="A234">
        <f>'Catalog Master'!A234</f>
        <v/>
      </c>
      <c r="B234">
        <f>'Catalog Master'!B234</f>
        <v/>
      </c>
      <c r="C234">
        <f>'Catalog Master'!O234</f>
        <v/>
      </c>
      <c r="D234">
        <f>'Catalog Master'!F234</f>
        <v/>
      </c>
      <c r="E234">
        <f>IF('Catalog Master'!Q234&lt;&gt;"","Y","N")</f>
        <v/>
      </c>
      <c r="F234">
        <f>IF('Catalog Master'!S234&lt;&gt;"","Y","N")</f>
        <v/>
      </c>
      <c r="G234">
        <f>IF('Catalog Master'!X234&lt;&gt;"","Y","N")</f>
        <v/>
      </c>
      <c r="H234">
        <f>IF('Catalog Master'!V234&lt;&gt;"","Y","N")</f>
        <v/>
      </c>
      <c r="I234">
        <f>IF(AND('Catalog Master'!Z234&lt;&gt;"",'Catalog Master'!AA234&lt;&gt;"",'Catalog Master'!AB234&lt;&gt;""),"Y","N")</f>
        <v/>
      </c>
      <c r="J234">
        <f>'Catalog Master'!N234</f>
        <v/>
      </c>
      <c r="K234">
        <f>'Catalog Master'!AL234</f>
        <v/>
      </c>
      <c r="L234">
        <f>IF(AND(E234="Y",F234="Y",G234="Y",H234="Y",I234="Y"),"Y","N")</f>
        <v/>
      </c>
    </row>
    <row r="235">
      <c r="A235">
        <f>'Catalog Master'!A235</f>
        <v/>
      </c>
      <c r="B235">
        <f>'Catalog Master'!B235</f>
        <v/>
      </c>
      <c r="C235">
        <f>'Catalog Master'!O235</f>
        <v/>
      </c>
      <c r="D235">
        <f>'Catalog Master'!F235</f>
        <v/>
      </c>
      <c r="E235">
        <f>IF('Catalog Master'!Q235&lt;&gt;"","Y","N")</f>
        <v/>
      </c>
      <c r="F235">
        <f>IF('Catalog Master'!S235&lt;&gt;"","Y","N")</f>
        <v/>
      </c>
      <c r="G235">
        <f>IF('Catalog Master'!X235&lt;&gt;"","Y","N")</f>
        <v/>
      </c>
      <c r="H235">
        <f>IF('Catalog Master'!V235&lt;&gt;"","Y","N")</f>
        <v/>
      </c>
      <c r="I235">
        <f>IF(AND('Catalog Master'!Z235&lt;&gt;"",'Catalog Master'!AA235&lt;&gt;"",'Catalog Master'!AB235&lt;&gt;""),"Y","N")</f>
        <v/>
      </c>
      <c r="J235">
        <f>'Catalog Master'!N235</f>
        <v/>
      </c>
      <c r="K235">
        <f>'Catalog Master'!AL235</f>
        <v/>
      </c>
      <c r="L235">
        <f>IF(AND(E235="Y",F235="Y",G235="Y",H235="Y",I235="Y"),"Y","N")</f>
        <v/>
      </c>
    </row>
    <row r="236">
      <c r="A236">
        <f>'Catalog Master'!A236</f>
        <v/>
      </c>
      <c r="B236">
        <f>'Catalog Master'!B236</f>
        <v/>
      </c>
      <c r="C236">
        <f>'Catalog Master'!O236</f>
        <v/>
      </c>
      <c r="D236">
        <f>'Catalog Master'!F236</f>
        <v/>
      </c>
      <c r="E236">
        <f>IF('Catalog Master'!Q236&lt;&gt;"","Y","N")</f>
        <v/>
      </c>
      <c r="F236">
        <f>IF('Catalog Master'!S236&lt;&gt;"","Y","N")</f>
        <v/>
      </c>
      <c r="G236">
        <f>IF('Catalog Master'!X236&lt;&gt;"","Y","N")</f>
        <v/>
      </c>
      <c r="H236">
        <f>IF('Catalog Master'!V236&lt;&gt;"","Y","N")</f>
        <v/>
      </c>
      <c r="I236">
        <f>IF(AND('Catalog Master'!Z236&lt;&gt;"",'Catalog Master'!AA236&lt;&gt;"",'Catalog Master'!AB236&lt;&gt;""),"Y","N")</f>
        <v/>
      </c>
      <c r="J236">
        <f>'Catalog Master'!N236</f>
        <v/>
      </c>
      <c r="K236">
        <f>'Catalog Master'!AL236</f>
        <v/>
      </c>
      <c r="L236">
        <f>IF(AND(E236="Y",F236="Y",G236="Y",H236="Y",I236="Y"),"Y","N")</f>
        <v/>
      </c>
    </row>
    <row r="237">
      <c r="A237">
        <f>'Catalog Master'!A237</f>
        <v/>
      </c>
      <c r="B237">
        <f>'Catalog Master'!B237</f>
        <v/>
      </c>
      <c r="C237">
        <f>'Catalog Master'!O237</f>
        <v/>
      </c>
      <c r="D237">
        <f>'Catalog Master'!F237</f>
        <v/>
      </c>
      <c r="E237">
        <f>IF('Catalog Master'!Q237&lt;&gt;"","Y","N")</f>
        <v/>
      </c>
      <c r="F237">
        <f>IF('Catalog Master'!S237&lt;&gt;"","Y","N")</f>
        <v/>
      </c>
      <c r="G237">
        <f>IF('Catalog Master'!X237&lt;&gt;"","Y","N")</f>
        <v/>
      </c>
      <c r="H237">
        <f>IF('Catalog Master'!V237&lt;&gt;"","Y","N")</f>
        <v/>
      </c>
      <c r="I237">
        <f>IF(AND('Catalog Master'!Z237&lt;&gt;"",'Catalog Master'!AA237&lt;&gt;"",'Catalog Master'!AB237&lt;&gt;""),"Y","N")</f>
        <v/>
      </c>
      <c r="J237">
        <f>'Catalog Master'!N237</f>
        <v/>
      </c>
      <c r="K237">
        <f>'Catalog Master'!AL237</f>
        <v/>
      </c>
      <c r="L237">
        <f>IF(AND(E237="Y",F237="Y",G237="Y",H237="Y",I237="Y"),"Y","N")</f>
        <v/>
      </c>
    </row>
    <row r="238">
      <c r="A238">
        <f>'Catalog Master'!A238</f>
        <v/>
      </c>
      <c r="B238">
        <f>'Catalog Master'!B238</f>
        <v/>
      </c>
      <c r="C238">
        <f>'Catalog Master'!O238</f>
        <v/>
      </c>
      <c r="D238">
        <f>'Catalog Master'!F238</f>
        <v/>
      </c>
      <c r="E238">
        <f>IF('Catalog Master'!Q238&lt;&gt;"","Y","N")</f>
        <v/>
      </c>
      <c r="F238">
        <f>IF('Catalog Master'!S238&lt;&gt;"","Y","N")</f>
        <v/>
      </c>
      <c r="G238">
        <f>IF('Catalog Master'!X238&lt;&gt;"","Y","N")</f>
        <v/>
      </c>
      <c r="H238">
        <f>IF('Catalog Master'!V238&lt;&gt;"","Y","N")</f>
        <v/>
      </c>
      <c r="I238">
        <f>IF(AND('Catalog Master'!Z238&lt;&gt;"",'Catalog Master'!AA238&lt;&gt;"",'Catalog Master'!AB238&lt;&gt;""),"Y","N")</f>
        <v/>
      </c>
      <c r="J238">
        <f>'Catalog Master'!N238</f>
        <v/>
      </c>
      <c r="K238">
        <f>'Catalog Master'!AL238</f>
        <v/>
      </c>
      <c r="L238">
        <f>IF(AND(E238="Y",F238="Y",G238="Y",H238="Y",I238="Y"),"Y","N")</f>
        <v/>
      </c>
    </row>
    <row r="239">
      <c r="A239">
        <f>'Catalog Master'!A239</f>
        <v/>
      </c>
      <c r="B239">
        <f>'Catalog Master'!B239</f>
        <v/>
      </c>
      <c r="C239">
        <f>'Catalog Master'!O239</f>
        <v/>
      </c>
      <c r="D239">
        <f>'Catalog Master'!F239</f>
        <v/>
      </c>
      <c r="E239">
        <f>IF('Catalog Master'!Q239&lt;&gt;"","Y","N")</f>
        <v/>
      </c>
      <c r="F239">
        <f>IF('Catalog Master'!S239&lt;&gt;"","Y","N")</f>
        <v/>
      </c>
      <c r="G239">
        <f>IF('Catalog Master'!X239&lt;&gt;"","Y","N")</f>
        <v/>
      </c>
      <c r="H239">
        <f>IF('Catalog Master'!V239&lt;&gt;"","Y","N")</f>
        <v/>
      </c>
      <c r="I239">
        <f>IF(AND('Catalog Master'!Z239&lt;&gt;"",'Catalog Master'!AA239&lt;&gt;"",'Catalog Master'!AB239&lt;&gt;""),"Y","N")</f>
        <v/>
      </c>
      <c r="J239">
        <f>'Catalog Master'!N239</f>
        <v/>
      </c>
      <c r="K239">
        <f>'Catalog Master'!AL239</f>
        <v/>
      </c>
      <c r="L239">
        <f>IF(AND(E239="Y",F239="Y",G239="Y",H239="Y",I239="Y"),"Y","N")</f>
        <v/>
      </c>
    </row>
    <row r="240">
      <c r="A240">
        <f>'Catalog Master'!A240</f>
        <v/>
      </c>
      <c r="B240">
        <f>'Catalog Master'!B240</f>
        <v/>
      </c>
      <c r="C240">
        <f>'Catalog Master'!O240</f>
        <v/>
      </c>
      <c r="D240">
        <f>'Catalog Master'!F240</f>
        <v/>
      </c>
      <c r="E240">
        <f>IF('Catalog Master'!Q240&lt;&gt;"","Y","N")</f>
        <v/>
      </c>
      <c r="F240">
        <f>IF('Catalog Master'!S240&lt;&gt;"","Y","N")</f>
        <v/>
      </c>
      <c r="G240">
        <f>IF('Catalog Master'!X240&lt;&gt;"","Y","N")</f>
        <v/>
      </c>
      <c r="H240">
        <f>IF('Catalog Master'!V240&lt;&gt;"","Y","N")</f>
        <v/>
      </c>
      <c r="I240">
        <f>IF(AND('Catalog Master'!Z240&lt;&gt;"",'Catalog Master'!AA240&lt;&gt;"",'Catalog Master'!AB240&lt;&gt;""),"Y","N")</f>
        <v/>
      </c>
      <c r="J240">
        <f>'Catalog Master'!N240</f>
        <v/>
      </c>
      <c r="K240">
        <f>'Catalog Master'!AL240</f>
        <v/>
      </c>
      <c r="L240">
        <f>IF(AND(E240="Y",F240="Y",G240="Y",H240="Y",I240="Y"),"Y","N")</f>
        <v/>
      </c>
    </row>
    <row r="241">
      <c r="A241">
        <f>'Catalog Master'!A241</f>
        <v/>
      </c>
      <c r="B241">
        <f>'Catalog Master'!B241</f>
        <v/>
      </c>
      <c r="C241">
        <f>'Catalog Master'!O241</f>
        <v/>
      </c>
      <c r="D241">
        <f>'Catalog Master'!F241</f>
        <v/>
      </c>
      <c r="E241">
        <f>IF('Catalog Master'!Q241&lt;&gt;"","Y","N")</f>
        <v/>
      </c>
      <c r="F241">
        <f>IF('Catalog Master'!S241&lt;&gt;"","Y","N")</f>
        <v/>
      </c>
      <c r="G241">
        <f>IF('Catalog Master'!X241&lt;&gt;"","Y","N")</f>
        <v/>
      </c>
      <c r="H241">
        <f>IF('Catalog Master'!V241&lt;&gt;"","Y","N")</f>
        <v/>
      </c>
      <c r="I241">
        <f>IF(AND('Catalog Master'!Z241&lt;&gt;"",'Catalog Master'!AA241&lt;&gt;"",'Catalog Master'!AB241&lt;&gt;""),"Y","N")</f>
        <v/>
      </c>
      <c r="J241">
        <f>'Catalog Master'!N241</f>
        <v/>
      </c>
      <c r="K241">
        <f>'Catalog Master'!AL241</f>
        <v/>
      </c>
      <c r="L241">
        <f>IF(AND(E241="Y",F241="Y",G241="Y",H241="Y",I241="Y"),"Y","N")</f>
        <v/>
      </c>
    </row>
    <row r="242">
      <c r="A242">
        <f>'Catalog Master'!A242</f>
        <v/>
      </c>
      <c r="B242">
        <f>'Catalog Master'!B242</f>
        <v/>
      </c>
      <c r="C242">
        <f>'Catalog Master'!O242</f>
        <v/>
      </c>
      <c r="D242">
        <f>'Catalog Master'!F242</f>
        <v/>
      </c>
      <c r="E242">
        <f>IF('Catalog Master'!Q242&lt;&gt;"","Y","N")</f>
        <v/>
      </c>
      <c r="F242">
        <f>IF('Catalog Master'!S242&lt;&gt;"","Y","N")</f>
        <v/>
      </c>
      <c r="G242">
        <f>IF('Catalog Master'!X242&lt;&gt;"","Y","N")</f>
        <v/>
      </c>
      <c r="H242">
        <f>IF('Catalog Master'!V242&lt;&gt;"","Y","N")</f>
        <v/>
      </c>
      <c r="I242">
        <f>IF(AND('Catalog Master'!Z242&lt;&gt;"",'Catalog Master'!AA242&lt;&gt;"",'Catalog Master'!AB242&lt;&gt;""),"Y","N")</f>
        <v/>
      </c>
      <c r="J242">
        <f>'Catalog Master'!N242</f>
        <v/>
      </c>
      <c r="K242">
        <f>'Catalog Master'!AL242</f>
        <v/>
      </c>
      <c r="L242">
        <f>IF(AND(E242="Y",F242="Y",G242="Y",H242="Y",I242="Y"),"Y","N")</f>
        <v/>
      </c>
    </row>
    <row r="243">
      <c r="A243">
        <f>'Catalog Master'!A243</f>
        <v/>
      </c>
      <c r="B243">
        <f>'Catalog Master'!B243</f>
        <v/>
      </c>
      <c r="C243">
        <f>'Catalog Master'!O243</f>
        <v/>
      </c>
      <c r="D243">
        <f>'Catalog Master'!F243</f>
        <v/>
      </c>
      <c r="E243">
        <f>IF('Catalog Master'!Q243&lt;&gt;"","Y","N")</f>
        <v/>
      </c>
      <c r="F243">
        <f>IF('Catalog Master'!S243&lt;&gt;"","Y","N")</f>
        <v/>
      </c>
      <c r="G243">
        <f>IF('Catalog Master'!X243&lt;&gt;"","Y","N")</f>
        <v/>
      </c>
      <c r="H243">
        <f>IF('Catalog Master'!V243&lt;&gt;"","Y","N")</f>
        <v/>
      </c>
      <c r="I243">
        <f>IF(AND('Catalog Master'!Z243&lt;&gt;"",'Catalog Master'!AA243&lt;&gt;"",'Catalog Master'!AB243&lt;&gt;""),"Y","N")</f>
        <v/>
      </c>
      <c r="J243">
        <f>'Catalog Master'!N243</f>
        <v/>
      </c>
      <c r="K243">
        <f>'Catalog Master'!AL243</f>
        <v/>
      </c>
      <c r="L243">
        <f>IF(AND(E243="Y",F243="Y",G243="Y",H243="Y",I243="Y"),"Y","N")</f>
        <v/>
      </c>
    </row>
    <row r="244">
      <c r="A244">
        <f>'Catalog Master'!A244</f>
        <v/>
      </c>
      <c r="B244">
        <f>'Catalog Master'!B244</f>
        <v/>
      </c>
      <c r="C244">
        <f>'Catalog Master'!O244</f>
        <v/>
      </c>
      <c r="D244">
        <f>'Catalog Master'!F244</f>
        <v/>
      </c>
      <c r="E244">
        <f>IF('Catalog Master'!Q244&lt;&gt;"","Y","N")</f>
        <v/>
      </c>
      <c r="F244">
        <f>IF('Catalog Master'!S244&lt;&gt;"","Y","N")</f>
        <v/>
      </c>
      <c r="G244">
        <f>IF('Catalog Master'!X244&lt;&gt;"","Y","N")</f>
        <v/>
      </c>
      <c r="H244">
        <f>IF('Catalog Master'!V244&lt;&gt;"","Y","N")</f>
        <v/>
      </c>
      <c r="I244">
        <f>IF(AND('Catalog Master'!Z244&lt;&gt;"",'Catalog Master'!AA244&lt;&gt;"",'Catalog Master'!AB244&lt;&gt;""),"Y","N")</f>
        <v/>
      </c>
      <c r="J244">
        <f>'Catalog Master'!N244</f>
        <v/>
      </c>
      <c r="K244">
        <f>'Catalog Master'!AL244</f>
        <v/>
      </c>
      <c r="L244">
        <f>IF(AND(E244="Y",F244="Y",G244="Y",H244="Y",I244="Y"),"Y","N")</f>
        <v/>
      </c>
    </row>
    <row r="245">
      <c r="A245">
        <f>'Catalog Master'!A245</f>
        <v/>
      </c>
      <c r="B245">
        <f>'Catalog Master'!B245</f>
        <v/>
      </c>
      <c r="C245">
        <f>'Catalog Master'!O245</f>
        <v/>
      </c>
      <c r="D245">
        <f>'Catalog Master'!F245</f>
        <v/>
      </c>
      <c r="E245">
        <f>IF('Catalog Master'!Q245&lt;&gt;"","Y","N")</f>
        <v/>
      </c>
      <c r="F245">
        <f>IF('Catalog Master'!S245&lt;&gt;"","Y","N")</f>
        <v/>
      </c>
      <c r="G245">
        <f>IF('Catalog Master'!X245&lt;&gt;"","Y","N")</f>
        <v/>
      </c>
      <c r="H245">
        <f>IF('Catalog Master'!V245&lt;&gt;"","Y","N")</f>
        <v/>
      </c>
      <c r="I245">
        <f>IF(AND('Catalog Master'!Z245&lt;&gt;"",'Catalog Master'!AA245&lt;&gt;"",'Catalog Master'!AB245&lt;&gt;""),"Y","N")</f>
        <v/>
      </c>
      <c r="J245">
        <f>'Catalog Master'!N245</f>
        <v/>
      </c>
      <c r="K245">
        <f>'Catalog Master'!AL245</f>
        <v/>
      </c>
      <c r="L245">
        <f>IF(AND(E245="Y",F245="Y",G245="Y",H245="Y",I245="Y"),"Y","N")</f>
        <v/>
      </c>
    </row>
    <row r="246">
      <c r="A246">
        <f>'Catalog Master'!A246</f>
        <v/>
      </c>
      <c r="B246">
        <f>'Catalog Master'!B246</f>
        <v/>
      </c>
      <c r="C246">
        <f>'Catalog Master'!O246</f>
        <v/>
      </c>
      <c r="D246">
        <f>'Catalog Master'!F246</f>
        <v/>
      </c>
      <c r="E246">
        <f>IF('Catalog Master'!Q246&lt;&gt;"","Y","N")</f>
        <v/>
      </c>
      <c r="F246">
        <f>IF('Catalog Master'!S246&lt;&gt;"","Y","N")</f>
        <v/>
      </c>
      <c r="G246">
        <f>IF('Catalog Master'!X246&lt;&gt;"","Y","N")</f>
        <v/>
      </c>
      <c r="H246">
        <f>IF('Catalog Master'!V246&lt;&gt;"","Y","N")</f>
        <v/>
      </c>
      <c r="I246">
        <f>IF(AND('Catalog Master'!Z246&lt;&gt;"",'Catalog Master'!AA246&lt;&gt;"",'Catalog Master'!AB246&lt;&gt;""),"Y","N")</f>
        <v/>
      </c>
      <c r="J246">
        <f>'Catalog Master'!N246</f>
        <v/>
      </c>
      <c r="K246">
        <f>'Catalog Master'!AL246</f>
        <v/>
      </c>
      <c r="L246">
        <f>IF(AND(E246="Y",F246="Y",G246="Y",H246="Y",I246="Y"),"Y","N")</f>
        <v/>
      </c>
    </row>
    <row r="247">
      <c r="A247">
        <f>'Catalog Master'!A247</f>
        <v/>
      </c>
      <c r="B247">
        <f>'Catalog Master'!B247</f>
        <v/>
      </c>
      <c r="C247">
        <f>'Catalog Master'!O247</f>
        <v/>
      </c>
      <c r="D247">
        <f>'Catalog Master'!F247</f>
        <v/>
      </c>
      <c r="E247">
        <f>IF('Catalog Master'!Q247&lt;&gt;"","Y","N")</f>
        <v/>
      </c>
      <c r="F247">
        <f>IF('Catalog Master'!S247&lt;&gt;"","Y","N")</f>
        <v/>
      </c>
      <c r="G247">
        <f>IF('Catalog Master'!X247&lt;&gt;"","Y","N")</f>
        <v/>
      </c>
      <c r="H247">
        <f>IF('Catalog Master'!V247&lt;&gt;"","Y","N")</f>
        <v/>
      </c>
      <c r="I247">
        <f>IF(AND('Catalog Master'!Z247&lt;&gt;"",'Catalog Master'!AA247&lt;&gt;"",'Catalog Master'!AB247&lt;&gt;""),"Y","N")</f>
        <v/>
      </c>
      <c r="J247">
        <f>'Catalog Master'!N247</f>
        <v/>
      </c>
      <c r="K247">
        <f>'Catalog Master'!AL247</f>
        <v/>
      </c>
      <c r="L247">
        <f>IF(AND(E247="Y",F247="Y",G247="Y",H247="Y",I247="Y"),"Y","N")</f>
        <v/>
      </c>
    </row>
    <row r="248">
      <c r="A248">
        <f>'Catalog Master'!A248</f>
        <v/>
      </c>
      <c r="B248">
        <f>'Catalog Master'!B248</f>
        <v/>
      </c>
      <c r="C248">
        <f>'Catalog Master'!O248</f>
        <v/>
      </c>
      <c r="D248">
        <f>'Catalog Master'!F248</f>
        <v/>
      </c>
      <c r="E248">
        <f>IF('Catalog Master'!Q248&lt;&gt;"","Y","N")</f>
        <v/>
      </c>
      <c r="F248">
        <f>IF('Catalog Master'!S248&lt;&gt;"","Y","N")</f>
        <v/>
      </c>
      <c r="G248">
        <f>IF('Catalog Master'!X248&lt;&gt;"","Y","N")</f>
        <v/>
      </c>
      <c r="H248">
        <f>IF('Catalog Master'!V248&lt;&gt;"","Y","N")</f>
        <v/>
      </c>
      <c r="I248">
        <f>IF(AND('Catalog Master'!Z248&lt;&gt;"",'Catalog Master'!AA248&lt;&gt;"",'Catalog Master'!AB248&lt;&gt;""),"Y","N")</f>
        <v/>
      </c>
      <c r="J248">
        <f>'Catalog Master'!N248</f>
        <v/>
      </c>
      <c r="K248">
        <f>'Catalog Master'!AL248</f>
        <v/>
      </c>
      <c r="L248">
        <f>IF(AND(E248="Y",F248="Y",G248="Y",H248="Y",I248="Y"),"Y","N")</f>
        <v/>
      </c>
    </row>
    <row r="249">
      <c r="A249">
        <f>'Catalog Master'!A249</f>
        <v/>
      </c>
      <c r="B249">
        <f>'Catalog Master'!B249</f>
        <v/>
      </c>
      <c r="C249">
        <f>'Catalog Master'!O249</f>
        <v/>
      </c>
      <c r="D249">
        <f>'Catalog Master'!F249</f>
        <v/>
      </c>
      <c r="E249">
        <f>IF('Catalog Master'!Q249&lt;&gt;"","Y","N")</f>
        <v/>
      </c>
      <c r="F249">
        <f>IF('Catalog Master'!S249&lt;&gt;"","Y","N")</f>
        <v/>
      </c>
      <c r="G249">
        <f>IF('Catalog Master'!X249&lt;&gt;"","Y","N")</f>
        <v/>
      </c>
      <c r="H249">
        <f>IF('Catalog Master'!V249&lt;&gt;"","Y","N")</f>
        <v/>
      </c>
      <c r="I249">
        <f>IF(AND('Catalog Master'!Z249&lt;&gt;"",'Catalog Master'!AA249&lt;&gt;"",'Catalog Master'!AB249&lt;&gt;""),"Y","N")</f>
        <v/>
      </c>
      <c r="J249">
        <f>'Catalog Master'!N249</f>
        <v/>
      </c>
      <c r="K249">
        <f>'Catalog Master'!AL249</f>
        <v/>
      </c>
      <c r="L249">
        <f>IF(AND(E249="Y",F249="Y",G249="Y",H249="Y",I249="Y"),"Y","N")</f>
        <v/>
      </c>
    </row>
    <row r="250">
      <c r="A250">
        <f>'Catalog Master'!A250</f>
        <v/>
      </c>
      <c r="B250">
        <f>'Catalog Master'!B250</f>
        <v/>
      </c>
      <c r="C250">
        <f>'Catalog Master'!O250</f>
        <v/>
      </c>
      <c r="D250">
        <f>'Catalog Master'!F250</f>
        <v/>
      </c>
      <c r="E250">
        <f>IF('Catalog Master'!Q250&lt;&gt;"","Y","N")</f>
        <v/>
      </c>
      <c r="F250">
        <f>IF('Catalog Master'!S250&lt;&gt;"","Y","N")</f>
        <v/>
      </c>
      <c r="G250">
        <f>IF('Catalog Master'!X250&lt;&gt;"","Y","N")</f>
        <v/>
      </c>
      <c r="H250">
        <f>IF('Catalog Master'!V250&lt;&gt;"","Y","N")</f>
        <v/>
      </c>
      <c r="I250">
        <f>IF(AND('Catalog Master'!Z250&lt;&gt;"",'Catalog Master'!AA250&lt;&gt;"",'Catalog Master'!AB250&lt;&gt;""),"Y","N")</f>
        <v/>
      </c>
      <c r="J250">
        <f>'Catalog Master'!N250</f>
        <v/>
      </c>
      <c r="K250">
        <f>'Catalog Master'!AL250</f>
        <v/>
      </c>
      <c r="L250">
        <f>IF(AND(E250="Y",F250="Y",G250="Y",H250="Y",I250="Y"),"Y","N")</f>
        <v/>
      </c>
    </row>
    <row r="251">
      <c r="A251">
        <f>'Catalog Master'!A251</f>
        <v/>
      </c>
      <c r="B251">
        <f>'Catalog Master'!B251</f>
        <v/>
      </c>
      <c r="C251">
        <f>'Catalog Master'!O251</f>
        <v/>
      </c>
      <c r="D251">
        <f>'Catalog Master'!F251</f>
        <v/>
      </c>
      <c r="E251">
        <f>IF('Catalog Master'!Q251&lt;&gt;"","Y","N")</f>
        <v/>
      </c>
      <c r="F251">
        <f>IF('Catalog Master'!S251&lt;&gt;"","Y","N")</f>
        <v/>
      </c>
      <c r="G251">
        <f>IF('Catalog Master'!X251&lt;&gt;"","Y","N")</f>
        <v/>
      </c>
      <c r="H251">
        <f>IF('Catalog Master'!V251&lt;&gt;"","Y","N")</f>
        <v/>
      </c>
      <c r="I251">
        <f>IF(AND('Catalog Master'!Z251&lt;&gt;"",'Catalog Master'!AA251&lt;&gt;"",'Catalog Master'!AB251&lt;&gt;""),"Y","N")</f>
        <v/>
      </c>
      <c r="J251">
        <f>'Catalog Master'!N251</f>
        <v/>
      </c>
      <c r="K251">
        <f>'Catalog Master'!AL251</f>
        <v/>
      </c>
      <c r="L251">
        <f>IF(AND(E251="Y",F251="Y",G251="Y",H251="Y",I251="Y"),"Y","N")</f>
        <v/>
      </c>
    </row>
    <row r="252">
      <c r="A252">
        <f>'Catalog Master'!A252</f>
        <v/>
      </c>
      <c r="B252">
        <f>'Catalog Master'!B252</f>
        <v/>
      </c>
      <c r="C252">
        <f>'Catalog Master'!O252</f>
        <v/>
      </c>
      <c r="D252">
        <f>'Catalog Master'!F252</f>
        <v/>
      </c>
      <c r="E252">
        <f>IF('Catalog Master'!Q252&lt;&gt;"","Y","N")</f>
        <v/>
      </c>
      <c r="F252">
        <f>IF('Catalog Master'!S252&lt;&gt;"","Y","N")</f>
        <v/>
      </c>
      <c r="G252">
        <f>IF('Catalog Master'!X252&lt;&gt;"","Y","N")</f>
        <v/>
      </c>
      <c r="H252">
        <f>IF('Catalog Master'!V252&lt;&gt;"","Y","N")</f>
        <v/>
      </c>
      <c r="I252">
        <f>IF(AND('Catalog Master'!Z252&lt;&gt;"",'Catalog Master'!AA252&lt;&gt;"",'Catalog Master'!AB252&lt;&gt;""),"Y","N")</f>
        <v/>
      </c>
      <c r="J252">
        <f>'Catalog Master'!N252</f>
        <v/>
      </c>
      <c r="K252">
        <f>'Catalog Master'!AL252</f>
        <v/>
      </c>
      <c r="L252">
        <f>IF(AND(E252="Y",F252="Y",G252="Y",H252="Y",I252="Y"),"Y","N")</f>
        <v/>
      </c>
    </row>
    <row r="253">
      <c r="A253">
        <f>'Catalog Master'!A253</f>
        <v/>
      </c>
      <c r="B253">
        <f>'Catalog Master'!B253</f>
        <v/>
      </c>
      <c r="C253">
        <f>'Catalog Master'!O253</f>
        <v/>
      </c>
      <c r="D253">
        <f>'Catalog Master'!F253</f>
        <v/>
      </c>
      <c r="E253">
        <f>IF('Catalog Master'!Q253&lt;&gt;"","Y","N")</f>
        <v/>
      </c>
      <c r="F253">
        <f>IF('Catalog Master'!S253&lt;&gt;"","Y","N")</f>
        <v/>
      </c>
      <c r="G253">
        <f>IF('Catalog Master'!X253&lt;&gt;"","Y","N")</f>
        <v/>
      </c>
      <c r="H253">
        <f>IF('Catalog Master'!V253&lt;&gt;"","Y","N")</f>
        <v/>
      </c>
      <c r="I253">
        <f>IF(AND('Catalog Master'!Z253&lt;&gt;"",'Catalog Master'!AA253&lt;&gt;"",'Catalog Master'!AB253&lt;&gt;""),"Y","N")</f>
        <v/>
      </c>
      <c r="J253">
        <f>'Catalog Master'!N253</f>
        <v/>
      </c>
      <c r="K253">
        <f>'Catalog Master'!AL253</f>
        <v/>
      </c>
      <c r="L253">
        <f>IF(AND(E253="Y",F253="Y",G253="Y",H253="Y",I253="Y"),"Y","N")</f>
        <v/>
      </c>
    </row>
    <row r="254">
      <c r="A254">
        <f>'Catalog Master'!A254</f>
        <v/>
      </c>
      <c r="B254">
        <f>'Catalog Master'!B254</f>
        <v/>
      </c>
      <c r="C254">
        <f>'Catalog Master'!O254</f>
        <v/>
      </c>
      <c r="D254">
        <f>'Catalog Master'!F254</f>
        <v/>
      </c>
      <c r="E254">
        <f>IF('Catalog Master'!Q254&lt;&gt;"","Y","N")</f>
        <v/>
      </c>
      <c r="F254">
        <f>IF('Catalog Master'!S254&lt;&gt;"","Y","N")</f>
        <v/>
      </c>
      <c r="G254">
        <f>IF('Catalog Master'!X254&lt;&gt;"","Y","N")</f>
        <v/>
      </c>
      <c r="H254">
        <f>IF('Catalog Master'!V254&lt;&gt;"","Y","N")</f>
        <v/>
      </c>
      <c r="I254">
        <f>IF(AND('Catalog Master'!Z254&lt;&gt;"",'Catalog Master'!AA254&lt;&gt;"",'Catalog Master'!AB254&lt;&gt;""),"Y","N")</f>
        <v/>
      </c>
      <c r="J254">
        <f>'Catalog Master'!N254</f>
        <v/>
      </c>
      <c r="K254">
        <f>'Catalog Master'!AL254</f>
        <v/>
      </c>
      <c r="L254">
        <f>IF(AND(E254="Y",F254="Y",G254="Y",H254="Y",I254="Y"),"Y","N")</f>
        <v/>
      </c>
    </row>
    <row r="255">
      <c r="A255">
        <f>'Catalog Master'!A255</f>
        <v/>
      </c>
      <c r="B255">
        <f>'Catalog Master'!B255</f>
        <v/>
      </c>
      <c r="C255">
        <f>'Catalog Master'!O255</f>
        <v/>
      </c>
      <c r="D255">
        <f>'Catalog Master'!F255</f>
        <v/>
      </c>
      <c r="E255">
        <f>IF('Catalog Master'!Q255&lt;&gt;"","Y","N")</f>
        <v/>
      </c>
      <c r="F255">
        <f>IF('Catalog Master'!S255&lt;&gt;"","Y","N")</f>
        <v/>
      </c>
      <c r="G255">
        <f>IF('Catalog Master'!X255&lt;&gt;"","Y","N")</f>
        <v/>
      </c>
      <c r="H255">
        <f>IF('Catalog Master'!V255&lt;&gt;"","Y","N")</f>
        <v/>
      </c>
      <c r="I255">
        <f>IF(AND('Catalog Master'!Z255&lt;&gt;"",'Catalog Master'!AA255&lt;&gt;"",'Catalog Master'!AB255&lt;&gt;""),"Y","N")</f>
        <v/>
      </c>
      <c r="J255">
        <f>'Catalog Master'!N255</f>
        <v/>
      </c>
      <c r="K255">
        <f>'Catalog Master'!AL255</f>
        <v/>
      </c>
      <c r="L255">
        <f>IF(AND(E255="Y",F255="Y",G255="Y",H255="Y",I255="Y"),"Y","N")</f>
        <v/>
      </c>
    </row>
    <row r="256">
      <c r="A256">
        <f>'Catalog Master'!A256</f>
        <v/>
      </c>
      <c r="B256">
        <f>'Catalog Master'!B256</f>
        <v/>
      </c>
      <c r="C256">
        <f>'Catalog Master'!O256</f>
        <v/>
      </c>
      <c r="D256">
        <f>'Catalog Master'!F256</f>
        <v/>
      </c>
      <c r="E256">
        <f>IF('Catalog Master'!Q256&lt;&gt;"","Y","N")</f>
        <v/>
      </c>
      <c r="F256">
        <f>IF('Catalog Master'!S256&lt;&gt;"","Y","N")</f>
        <v/>
      </c>
      <c r="G256">
        <f>IF('Catalog Master'!X256&lt;&gt;"","Y","N")</f>
        <v/>
      </c>
      <c r="H256">
        <f>IF('Catalog Master'!V256&lt;&gt;"","Y","N")</f>
        <v/>
      </c>
      <c r="I256">
        <f>IF(AND('Catalog Master'!Z256&lt;&gt;"",'Catalog Master'!AA256&lt;&gt;"",'Catalog Master'!AB256&lt;&gt;""),"Y","N")</f>
        <v/>
      </c>
      <c r="J256">
        <f>'Catalog Master'!N256</f>
        <v/>
      </c>
      <c r="K256">
        <f>'Catalog Master'!AL256</f>
        <v/>
      </c>
      <c r="L256">
        <f>IF(AND(E256="Y",F256="Y",G256="Y",H256="Y",I256="Y"),"Y","N")</f>
        <v/>
      </c>
    </row>
    <row r="257">
      <c r="A257">
        <f>'Catalog Master'!A257</f>
        <v/>
      </c>
      <c r="B257">
        <f>'Catalog Master'!B257</f>
        <v/>
      </c>
      <c r="C257">
        <f>'Catalog Master'!O257</f>
        <v/>
      </c>
      <c r="D257">
        <f>'Catalog Master'!F257</f>
        <v/>
      </c>
      <c r="E257">
        <f>IF('Catalog Master'!Q257&lt;&gt;"","Y","N")</f>
        <v/>
      </c>
      <c r="F257">
        <f>IF('Catalog Master'!S257&lt;&gt;"","Y","N")</f>
        <v/>
      </c>
      <c r="G257">
        <f>IF('Catalog Master'!X257&lt;&gt;"","Y","N")</f>
        <v/>
      </c>
      <c r="H257">
        <f>IF('Catalog Master'!V257&lt;&gt;"","Y","N")</f>
        <v/>
      </c>
      <c r="I257">
        <f>IF(AND('Catalog Master'!Z257&lt;&gt;"",'Catalog Master'!AA257&lt;&gt;"",'Catalog Master'!AB257&lt;&gt;""),"Y","N")</f>
        <v/>
      </c>
      <c r="J257">
        <f>'Catalog Master'!N257</f>
        <v/>
      </c>
      <c r="K257">
        <f>'Catalog Master'!AL257</f>
        <v/>
      </c>
      <c r="L257">
        <f>IF(AND(E257="Y",F257="Y",G257="Y",H257="Y",I257="Y"),"Y","N")</f>
        <v/>
      </c>
    </row>
    <row r="258">
      <c r="A258">
        <f>'Catalog Master'!A258</f>
        <v/>
      </c>
      <c r="B258">
        <f>'Catalog Master'!B258</f>
        <v/>
      </c>
      <c r="C258">
        <f>'Catalog Master'!O258</f>
        <v/>
      </c>
      <c r="D258">
        <f>'Catalog Master'!F258</f>
        <v/>
      </c>
      <c r="E258">
        <f>IF('Catalog Master'!Q258&lt;&gt;"","Y","N")</f>
        <v/>
      </c>
      <c r="F258">
        <f>IF('Catalog Master'!S258&lt;&gt;"","Y","N")</f>
        <v/>
      </c>
      <c r="G258">
        <f>IF('Catalog Master'!X258&lt;&gt;"","Y","N")</f>
        <v/>
      </c>
      <c r="H258">
        <f>IF('Catalog Master'!V258&lt;&gt;"","Y","N")</f>
        <v/>
      </c>
      <c r="I258">
        <f>IF(AND('Catalog Master'!Z258&lt;&gt;"",'Catalog Master'!AA258&lt;&gt;"",'Catalog Master'!AB258&lt;&gt;""),"Y","N")</f>
        <v/>
      </c>
      <c r="J258">
        <f>'Catalog Master'!N258</f>
        <v/>
      </c>
      <c r="K258">
        <f>'Catalog Master'!AL258</f>
        <v/>
      </c>
      <c r="L258">
        <f>IF(AND(E258="Y",F258="Y",G258="Y",H258="Y",I258="Y"),"Y","N")</f>
        <v/>
      </c>
    </row>
    <row r="259">
      <c r="A259">
        <f>'Catalog Master'!A259</f>
        <v/>
      </c>
      <c r="B259">
        <f>'Catalog Master'!B259</f>
        <v/>
      </c>
      <c r="C259">
        <f>'Catalog Master'!O259</f>
        <v/>
      </c>
      <c r="D259">
        <f>'Catalog Master'!F259</f>
        <v/>
      </c>
      <c r="E259">
        <f>IF('Catalog Master'!Q259&lt;&gt;"","Y","N")</f>
        <v/>
      </c>
      <c r="F259">
        <f>IF('Catalog Master'!S259&lt;&gt;"","Y","N")</f>
        <v/>
      </c>
      <c r="G259">
        <f>IF('Catalog Master'!X259&lt;&gt;"","Y","N")</f>
        <v/>
      </c>
      <c r="H259">
        <f>IF('Catalog Master'!V259&lt;&gt;"","Y","N")</f>
        <v/>
      </c>
      <c r="I259">
        <f>IF(AND('Catalog Master'!Z259&lt;&gt;"",'Catalog Master'!AA259&lt;&gt;"",'Catalog Master'!AB259&lt;&gt;""),"Y","N")</f>
        <v/>
      </c>
      <c r="J259">
        <f>'Catalog Master'!N259</f>
        <v/>
      </c>
      <c r="K259">
        <f>'Catalog Master'!AL259</f>
        <v/>
      </c>
      <c r="L259">
        <f>IF(AND(E259="Y",F259="Y",G259="Y",H259="Y",I259="Y"),"Y","N")</f>
        <v/>
      </c>
    </row>
    <row r="260">
      <c r="A260">
        <f>'Catalog Master'!A260</f>
        <v/>
      </c>
      <c r="B260">
        <f>'Catalog Master'!B260</f>
        <v/>
      </c>
      <c r="C260">
        <f>'Catalog Master'!O260</f>
        <v/>
      </c>
      <c r="D260">
        <f>'Catalog Master'!F260</f>
        <v/>
      </c>
      <c r="E260">
        <f>IF('Catalog Master'!Q260&lt;&gt;"","Y","N")</f>
        <v/>
      </c>
      <c r="F260">
        <f>IF('Catalog Master'!S260&lt;&gt;"","Y","N")</f>
        <v/>
      </c>
      <c r="G260">
        <f>IF('Catalog Master'!X260&lt;&gt;"","Y","N")</f>
        <v/>
      </c>
      <c r="H260">
        <f>IF('Catalog Master'!V260&lt;&gt;"","Y","N")</f>
        <v/>
      </c>
      <c r="I260">
        <f>IF(AND('Catalog Master'!Z260&lt;&gt;"",'Catalog Master'!AA260&lt;&gt;"",'Catalog Master'!AB260&lt;&gt;""),"Y","N")</f>
        <v/>
      </c>
      <c r="J260">
        <f>'Catalog Master'!N260</f>
        <v/>
      </c>
      <c r="K260">
        <f>'Catalog Master'!AL260</f>
        <v/>
      </c>
      <c r="L260">
        <f>IF(AND(E260="Y",F260="Y",G260="Y",H260="Y",I260="Y"),"Y","N")</f>
        <v/>
      </c>
    </row>
    <row r="261">
      <c r="A261">
        <f>'Catalog Master'!A261</f>
        <v/>
      </c>
      <c r="B261">
        <f>'Catalog Master'!B261</f>
        <v/>
      </c>
      <c r="C261">
        <f>'Catalog Master'!O261</f>
        <v/>
      </c>
      <c r="D261">
        <f>'Catalog Master'!F261</f>
        <v/>
      </c>
      <c r="E261">
        <f>IF('Catalog Master'!Q261&lt;&gt;"","Y","N")</f>
        <v/>
      </c>
      <c r="F261">
        <f>IF('Catalog Master'!S261&lt;&gt;"","Y","N")</f>
        <v/>
      </c>
      <c r="G261">
        <f>IF('Catalog Master'!X261&lt;&gt;"","Y","N")</f>
        <v/>
      </c>
      <c r="H261">
        <f>IF('Catalog Master'!V261&lt;&gt;"","Y","N")</f>
        <v/>
      </c>
      <c r="I261">
        <f>IF(AND('Catalog Master'!Z261&lt;&gt;"",'Catalog Master'!AA261&lt;&gt;"",'Catalog Master'!AB261&lt;&gt;""),"Y","N")</f>
        <v/>
      </c>
      <c r="J261">
        <f>'Catalog Master'!N261</f>
        <v/>
      </c>
      <c r="K261">
        <f>'Catalog Master'!AL261</f>
        <v/>
      </c>
      <c r="L261">
        <f>IF(AND(E261="Y",F261="Y",G261="Y",H261="Y",I261="Y"),"Y","N")</f>
        <v/>
      </c>
    </row>
    <row r="262">
      <c r="A262">
        <f>'Catalog Master'!A262</f>
        <v/>
      </c>
      <c r="B262">
        <f>'Catalog Master'!B262</f>
        <v/>
      </c>
      <c r="C262">
        <f>'Catalog Master'!O262</f>
        <v/>
      </c>
      <c r="D262">
        <f>'Catalog Master'!F262</f>
        <v/>
      </c>
      <c r="E262">
        <f>IF('Catalog Master'!Q262&lt;&gt;"","Y","N")</f>
        <v/>
      </c>
      <c r="F262">
        <f>IF('Catalog Master'!S262&lt;&gt;"","Y","N")</f>
        <v/>
      </c>
      <c r="G262">
        <f>IF('Catalog Master'!X262&lt;&gt;"","Y","N")</f>
        <v/>
      </c>
      <c r="H262">
        <f>IF('Catalog Master'!V262&lt;&gt;"","Y","N")</f>
        <v/>
      </c>
      <c r="I262">
        <f>IF(AND('Catalog Master'!Z262&lt;&gt;"",'Catalog Master'!AA262&lt;&gt;"",'Catalog Master'!AB262&lt;&gt;""),"Y","N")</f>
        <v/>
      </c>
      <c r="J262">
        <f>'Catalog Master'!N262</f>
        <v/>
      </c>
      <c r="K262">
        <f>'Catalog Master'!AL262</f>
        <v/>
      </c>
      <c r="L262">
        <f>IF(AND(E262="Y",F262="Y",G262="Y",H262="Y",I262="Y"),"Y","N")</f>
        <v/>
      </c>
    </row>
    <row r="263">
      <c r="A263">
        <f>'Catalog Master'!A263</f>
        <v/>
      </c>
      <c r="B263">
        <f>'Catalog Master'!B263</f>
        <v/>
      </c>
      <c r="C263">
        <f>'Catalog Master'!O263</f>
        <v/>
      </c>
      <c r="D263">
        <f>'Catalog Master'!F263</f>
        <v/>
      </c>
      <c r="E263">
        <f>IF('Catalog Master'!Q263&lt;&gt;"","Y","N")</f>
        <v/>
      </c>
      <c r="F263">
        <f>IF('Catalog Master'!S263&lt;&gt;"","Y","N")</f>
        <v/>
      </c>
      <c r="G263">
        <f>IF('Catalog Master'!X263&lt;&gt;"","Y","N")</f>
        <v/>
      </c>
      <c r="H263">
        <f>IF('Catalog Master'!V263&lt;&gt;"","Y","N")</f>
        <v/>
      </c>
      <c r="I263">
        <f>IF(AND('Catalog Master'!Z263&lt;&gt;"",'Catalog Master'!AA263&lt;&gt;"",'Catalog Master'!AB263&lt;&gt;""),"Y","N")</f>
        <v/>
      </c>
      <c r="J263">
        <f>'Catalog Master'!N263</f>
        <v/>
      </c>
      <c r="K263">
        <f>'Catalog Master'!AL263</f>
        <v/>
      </c>
      <c r="L263">
        <f>IF(AND(E263="Y",F263="Y",G263="Y",H263="Y",I263="Y"),"Y","N")</f>
        <v/>
      </c>
    </row>
    <row r="264">
      <c r="A264">
        <f>'Catalog Master'!A264</f>
        <v/>
      </c>
      <c r="B264">
        <f>'Catalog Master'!B264</f>
        <v/>
      </c>
      <c r="C264">
        <f>'Catalog Master'!O264</f>
        <v/>
      </c>
      <c r="D264">
        <f>'Catalog Master'!F264</f>
        <v/>
      </c>
      <c r="E264">
        <f>IF('Catalog Master'!Q264&lt;&gt;"","Y","N")</f>
        <v/>
      </c>
      <c r="F264">
        <f>IF('Catalog Master'!S264&lt;&gt;"","Y","N")</f>
        <v/>
      </c>
      <c r="G264">
        <f>IF('Catalog Master'!X264&lt;&gt;"","Y","N")</f>
        <v/>
      </c>
      <c r="H264">
        <f>IF('Catalog Master'!V264&lt;&gt;"","Y","N")</f>
        <v/>
      </c>
      <c r="I264">
        <f>IF(AND('Catalog Master'!Z264&lt;&gt;"",'Catalog Master'!AA264&lt;&gt;"",'Catalog Master'!AB264&lt;&gt;""),"Y","N")</f>
        <v/>
      </c>
      <c r="J264">
        <f>'Catalog Master'!N264</f>
        <v/>
      </c>
      <c r="K264">
        <f>'Catalog Master'!AL264</f>
        <v/>
      </c>
      <c r="L264">
        <f>IF(AND(E264="Y",F264="Y",G264="Y",H264="Y",I264="Y"),"Y","N")</f>
        <v/>
      </c>
    </row>
    <row r="265">
      <c r="A265">
        <f>'Catalog Master'!A265</f>
        <v/>
      </c>
      <c r="B265">
        <f>'Catalog Master'!B265</f>
        <v/>
      </c>
      <c r="C265">
        <f>'Catalog Master'!O265</f>
        <v/>
      </c>
      <c r="D265">
        <f>'Catalog Master'!F265</f>
        <v/>
      </c>
      <c r="E265">
        <f>IF('Catalog Master'!Q265&lt;&gt;"","Y","N")</f>
        <v/>
      </c>
      <c r="F265">
        <f>IF('Catalog Master'!S265&lt;&gt;"","Y","N")</f>
        <v/>
      </c>
      <c r="G265">
        <f>IF('Catalog Master'!X265&lt;&gt;"","Y","N")</f>
        <v/>
      </c>
      <c r="H265">
        <f>IF('Catalog Master'!V265&lt;&gt;"","Y","N")</f>
        <v/>
      </c>
      <c r="I265">
        <f>IF(AND('Catalog Master'!Z265&lt;&gt;"",'Catalog Master'!AA265&lt;&gt;"",'Catalog Master'!AB265&lt;&gt;""),"Y","N")</f>
        <v/>
      </c>
      <c r="J265">
        <f>'Catalog Master'!N265</f>
        <v/>
      </c>
      <c r="K265">
        <f>'Catalog Master'!AL265</f>
        <v/>
      </c>
      <c r="L265">
        <f>IF(AND(E265="Y",F265="Y",G265="Y",H265="Y",I265="Y"),"Y","N")</f>
        <v/>
      </c>
    </row>
    <row r="266">
      <c r="A266">
        <f>'Catalog Master'!A266</f>
        <v/>
      </c>
      <c r="B266">
        <f>'Catalog Master'!B266</f>
        <v/>
      </c>
      <c r="C266">
        <f>'Catalog Master'!O266</f>
        <v/>
      </c>
      <c r="D266">
        <f>'Catalog Master'!F266</f>
        <v/>
      </c>
      <c r="E266">
        <f>IF('Catalog Master'!Q266&lt;&gt;"","Y","N")</f>
        <v/>
      </c>
      <c r="F266">
        <f>IF('Catalog Master'!S266&lt;&gt;"","Y","N")</f>
        <v/>
      </c>
      <c r="G266">
        <f>IF('Catalog Master'!X266&lt;&gt;"","Y","N")</f>
        <v/>
      </c>
      <c r="H266">
        <f>IF('Catalog Master'!V266&lt;&gt;"","Y","N")</f>
        <v/>
      </c>
      <c r="I266">
        <f>IF(AND('Catalog Master'!Z266&lt;&gt;"",'Catalog Master'!AA266&lt;&gt;"",'Catalog Master'!AB266&lt;&gt;""),"Y","N")</f>
        <v/>
      </c>
      <c r="J266">
        <f>'Catalog Master'!N266</f>
        <v/>
      </c>
      <c r="K266">
        <f>'Catalog Master'!AL266</f>
        <v/>
      </c>
      <c r="L266">
        <f>IF(AND(E266="Y",F266="Y",G266="Y",H266="Y",I266="Y"),"Y","N")</f>
        <v/>
      </c>
    </row>
    <row r="267">
      <c r="A267">
        <f>'Catalog Master'!A267</f>
        <v/>
      </c>
      <c r="B267">
        <f>'Catalog Master'!B267</f>
        <v/>
      </c>
      <c r="C267">
        <f>'Catalog Master'!O267</f>
        <v/>
      </c>
      <c r="D267">
        <f>'Catalog Master'!F267</f>
        <v/>
      </c>
      <c r="E267">
        <f>IF('Catalog Master'!Q267&lt;&gt;"","Y","N")</f>
        <v/>
      </c>
      <c r="F267">
        <f>IF('Catalog Master'!S267&lt;&gt;"","Y","N")</f>
        <v/>
      </c>
      <c r="G267">
        <f>IF('Catalog Master'!X267&lt;&gt;"","Y","N")</f>
        <v/>
      </c>
      <c r="H267">
        <f>IF('Catalog Master'!V267&lt;&gt;"","Y","N")</f>
        <v/>
      </c>
      <c r="I267">
        <f>IF(AND('Catalog Master'!Z267&lt;&gt;"",'Catalog Master'!AA267&lt;&gt;"",'Catalog Master'!AB267&lt;&gt;""),"Y","N")</f>
        <v/>
      </c>
      <c r="J267">
        <f>'Catalog Master'!N267</f>
        <v/>
      </c>
      <c r="K267">
        <f>'Catalog Master'!AL267</f>
        <v/>
      </c>
      <c r="L267">
        <f>IF(AND(E267="Y",F267="Y",G267="Y",H267="Y",I267="Y"),"Y","N")</f>
        <v/>
      </c>
    </row>
    <row r="268">
      <c r="A268">
        <f>'Catalog Master'!A268</f>
        <v/>
      </c>
      <c r="B268">
        <f>'Catalog Master'!B268</f>
        <v/>
      </c>
      <c r="C268">
        <f>'Catalog Master'!O268</f>
        <v/>
      </c>
      <c r="D268">
        <f>'Catalog Master'!F268</f>
        <v/>
      </c>
      <c r="E268">
        <f>IF('Catalog Master'!Q268&lt;&gt;"","Y","N")</f>
        <v/>
      </c>
      <c r="F268">
        <f>IF('Catalog Master'!S268&lt;&gt;"","Y","N")</f>
        <v/>
      </c>
      <c r="G268">
        <f>IF('Catalog Master'!X268&lt;&gt;"","Y","N")</f>
        <v/>
      </c>
      <c r="H268">
        <f>IF('Catalog Master'!V268&lt;&gt;"","Y","N")</f>
        <v/>
      </c>
      <c r="I268">
        <f>IF(AND('Catalog Master'!Z268&lt;&gt;"",'Catalog Master'!AA268&lt;&gt;"",'Catalog Master'!AB268&lt;&gt;""),"Y","N")</f>
        <v/>
      </c>
      <c r="J268">
        <f>'Catalog Master'!N268</f>
        <v/>
      </c>
      <c r="K268">
        <f>'Catalog Master'!AL268</f>
        <v/>
      </c>
      <c r="L268">
        <f>IF(AND(E268="Y",F268="Y",G268="Y",H268="Y",I268="Y"),"Y","N")</f>
        <v/>
      </c>
    </row>
    <row r="269">
      <c r="A269">
        <f>'Catalog Master'!A269</f>
        <v/>
      </c>
      <c r="B269">
        <f>'Catalog Master'!B269</f>
        <v/>
      </c>
      <c r="C269">
        <f>'Catalog Master'!O269</f>
        <v/>
      </c>
      <c r="D269">
        <f>'Catalog Master'!F269</f>
        <v/>
      </c>
      <c r="E269">
        <f>IF('Catalog Master'!Q269&lt;&gt;"","Y","N")</f>
        <v/>
      </c>
      <c r="F269">
        <f>IF('Catalog Master'!S269&lt;&gt;"","Y","N")</f>
        <v/>
      </c>
      <c r="G269">
        <f>IF('Catalog Master'!X269&lt;&gt;"","Y","N")</f>
        <v/>
      </c>
      <c r="H269">
        <f>IF('Catalog Master'!V269&lt;&gt;"","Y","N")</f>
        <v/>
      </c>
      <c r="I269">
        <f>IF(AND('Catalog Master'!Z269&lt;&gt;"",'Catalog Master'!AA269&lt;&gt;"",'Catalog Master'!AB269&lt;&gt;""),"Y","N")</f>
        <v/>
      </c>
      <c r="J269">
        <f>'Catalog Master'!N269</f>
        <v/>
      </c>
      <c r="K269">
        <f>'Catalog Master'!AL269</f>
        <v/>
      </c>
      <c r="L269">
        <f>IF(AND(E269="Y",F269="Y",G269="Y",H269="Y",I269="Y"),"Y","N")</f>
        <v/>
      </c>
    </row>
    <row r="270">
      <c r="A270">
        <f>'Catalog Master'!A270</f>
        <v/>
      </c>
      <c r="B270">
        <f>'Catalog Master'!B270</f>
        <v/>
      </c>
      <c r="C270">
        <f>'Catalog Master'!O270</f>
        <v/>
      </c>
      <c r="D270">
        <f>'Catalog Master'!F270</f>
        <v/>
      </c>
      <c r="E270">
        <f>IF('Catalog Master'!Q270&lt;&gt;"","Y","N")</f>
        <v/>
      </c>
      <c r="F270">
        <f>IF('Catalog Master'!S270&lt;&gt;"","Y","N")</f>
        <v/>
      </c>
      <c r="G270">
        <f>IF('Catalog Master'!X270&lt;&gt;"","Y","N")</f>
        <v/>
      </c>
      <c r="H270">
        <f>IF('Catalog Master'!V270&lt;&gt;"","Y","N")</f>
        <v/>
      </c>
      <c r="I270">
        <f>IF(AND('Catalog Master'!Z270&lt;&gt;"",'Catalog Master'!AA270&lt;&gt;"",'Catalog Master'!AB270&lt;&gt;""),"Y","N")</f>
        <v/>
      </c>
      <c r="J270">
        <f>'Catalog Master'!N270</f>
        <v/>
      </c>
      <c r="K270">
        <f>'Catalog Master'!AL270</f>
        <v/>
      </c>
      <c r="L270">
        <f>IF(AND(E270="Y",F270="Y",G270="Y",H270="Y",I270="Y"),"Y","N")</f>
        <v/>
      </c>
    </row>
    <row r="271">
      <c r="A271">
        <f>'Catalog Master'!A271</f>
        <v/>
      </c>
      <c r="B271">
        <f>'Catalog Master'!B271</f>
        <v/>
      </c>
      <c r="C271">
        <f>'Catalog Master'!O271</f>
        <v/>
      </c>
      <c r="D271">
        <f>'Catalog Master'!F271</f>
        <v/>
      </c>
      <c r="E271">
        <f>IF('Catalog Master'!Q271&lt;&gt;"","Y","N")</f>
        <v/>
      </c>
      <c r="F271">
        <f>IF('Catalog Master'!S271&lt;&gt;"","Y","N")</f>
        <v/>
      </c>
      <c r="G271">
        <f>IF('Catalog Master'!X271&lt;&gt;"","Y","N")</f>
        <v/>
      </c>
      <c r="H271">
        <f>IF('Catalog Master'!V271&lt;&gt;"","Y","N")</f>
        <v/>
      </c>
      <c r="I271">
        <f>IF(AND('Catalog Master'!Z271&lt;&gt;"",'Catalog Master'!AA271&lt;&gt;"",'Catalog Master'!AB271&lt;&gt;""),"Y","N")</f>
        <v/>
      </c>
      <c r="J271">
        <f>'Catalog Master'!N271</f>
        <v/>
      </c>
      <c r="K271">
        <f>'Catalog Master'!AL271</f>
        <v/>
      </c>
      <c r="L271">
        <f>IF(AND(E271="Y",F271="Y",G271="Y",H271="Y",I271="Y"),"Y","N")</f>
        <v/>
      </c>
    </row>
    <row r="272">
      <c r="A272">
        <f>'Catalog Master'!A272</f>
        <v/>
      </c>
      <c r="B272">
        <f>'Catalog Master'!B272</f>
        <v/>
      </c>
      <c r="C272">
        <f>'Catalog Master'!O272</f>
        <v/>
      </c>
      <c r="D272">
        <f>'Catalog Master'!F272</f>
        <v/>
      </c>
      <c r="E272">
        <f>IF('Catalog Master'!Q272&lt;&gt;"","Y","N")</f>
        <v/>
      </c>
      <c r="F272">
        <f>IF('Catalog Master'!S272&lt;&gt;"","Y","N")</f>
        <v/>
      </c>
      <c r="G272">
        <f>IF('Catalog Master'!X272&lt;&gt;"","Y","N")</f>
        <v/>
      </c>
      <c r="H272">
        <f>IF('Catalog Master'!V272&lt;&gt;"","Y","N")</f>
        <v/>
      </c>
      <c r="I272">
        <f>IF(AND('Catalog Master'!Z272&lt;&gt;"",'Catalog Master'!AA272&lt;&gt;"",'Catalog Master'!AB272&lt;&gt;""),"Y","N")</f>
        <v/>
      </c>
      <c r="J272">
        <f>'Catalog Master'!N272</f>
        <v/>
      </c>
      <c r="K272">
        <f>'Catalog Master'!AL272</f>
        <v/>
      </c>
      <c r="L272">
        <f>IF(AND(E272="Y",F272="Y",G272="Y",H272="Y",I272="Y"),"Y","N")</f>
        <v/>
      </c>
    </row>
    <row r="273">
      <c r="A273">
        <f>'Catalog Master'!A273</f>
        <v/>
      </c>
      <c r="B273">
        <f>'Catalog Master'!B273</f>
        <v/>
      </c>
      <c r="C273">
        <f>'Catalog Master'!O273</f>
        <v/>
      </c>
      <c r="D273">
        <f>'Catalog Master'!F273</f>
        <v/>
      </c>
      <c r="E273">
        <f>IF('Catalog Master'!Q273&lt;&gt;"","Y","N")</f>
        <v/>
      </c>
      <c r="F273">
        <f>IF('Catalog Master'!S273&lt;&gt;"","Y","N")</f>
        <v/>
      </c>
      <c r="G273">
        <f>IF('Catalog Master'!X273&lt;&gt;"","Y","N")</f>
        <v/>
      </c>
      <c r="H273">
        <f>IF('Catalog Master'!V273&lt;&gt;"","Y","N")</f>
        <v/>
      </c>
      <c r="I273">
        <f>IF(AND('Catalog Master'!Z273&lt;&gt;"",'Catalog Master'!AA273&lt;&gt;"",'Catalog Master'!AB273&lt;&gt;""),"Y","N")</f>
        <v/>
      </c>
      <c r="J273">
        <f>'Catalog Master'!N273</f>
        <v/>
      </c>
      <c r="K273">
        <f>'Catalog Master'!AL273</f>
        <v/>
      </c>
      <c r="L273">
        <f>IF(AND(E273="Y",F273="Y",G273="Y",H273="Y",I273="Y"),"Y","N")</f>
        <v/>
      </c>
    </row>
    <row r="274">
      <c r="A274">
        <f>'Catalog Master'!A274</f>
        <v/>
      </c>
      <c r="B274">
        <f>'Catalog Master'!B274</f>
        <v/>
      </c>
      <c r="C274">
        <f>'Catalog Master'!O274</f>
        <v/>
      </c>
      <c r="D274">
        <f>'Catalog Master'!F274</f>
        <v/>
      </c>
      <c r="E274">
        <f>IF('Catalog Master'!Q274&lt;&gt;"","Y","N")</f>
        <v/>
      </c>
      <c r="F274">
        <f>IF('Catalog Master'!S274&lt;&gt;"","Y","N")</f>
        <v/>
      </c>
      <c r="G274">
        <f>IF('Catalog Master'!X274&lt;&gt;"","Y","N")</f>
        <v/>
      </c>
      <c r="H274">
        <f>IF('Catalog Master'!V274&lt;&gt;"","Y","N")</f>
        <v/>
      </c>
      <c r="I274">
        <f>IF(AND('Catalog Master'!Z274&lt;&gt;"",'Catalog Master'!AA274&lt;&gt;"",'Catalog Master'!AB274&lt;&gt;""),"Y","N")</f>
        <v/>
      </c>
      <c r="J274">
        <f>'Catalog Master'!N274</f>
        <v/>
      </c>
      <c r="K274">
        <f>'Catalog Master'!AL274</f>
        <v/>
      </c>
      <c r="L274">
        <f>IF(AND(E274="Y",F274="Y",G274="Y",H274="Y",I274="Y"),"Y","N")</f>
        <v/>
      </c>
    </row>
    <row r="275">
      <c r="A275">
        <f>'Catalog Master'!A275</f>
        <v/>
      </c>
      <c r="B275">
        <f>'Catalog Master'!B275</f>
        <v/>
      </c>
      <c r="C275">
        <f>'Catalog Master'!O275</f>
        <v/>
      </c>
      <c r="D275">
        <f>'Catalog Master'!F275</f>
        <v/>
      </c>
      <c r="E275">
        <f>IF('Catalog Master'!Q275&lt;&gt;"","Y","N")</f>
        <v/>
      </c>
      <c r="F275">
        <f>IF('Catalog Master'!S275&lt;&gt;"","Y","N")</f>
        <v/>
      </c>
      <c r="G275">
        <f>IF('Catalog Master'!X275&lt;&gt;"","Y","N")</f>
        <v/>
      </c>
      <c r="H275">
        <f>IF('Catalog Master'!V275&lt;&gt;"","Y","N")</f>
        <v/>
      </c>
      <c r="I275">
        <f>IF(AND('Catalog Master'!Z275&lt;&gt;"",'Catalog Master'!AA275&lt;&gt;"",'Catalog Master'!AB275&lt;&gt;""),"Y","N")</f>
        <v/>
      </c>
      <c r="J275">
        <f>'Catalog Master'!N275</f>
        <v/>
      </c>
      <c r="K275">
        <f>'Catalog Master'!AL275</f>
        <v/>
      </c>
      <c r="L275">
        <f>IF(AND(E275="Y",F275="Y",G275="Y",H275="Y",I275="Y"),"Y","N")</f>
        <v/>
      </c>
    </row>
    <row r="276">
      <c r="A276">
        <f>'Catalog Master'!A276</f>
        <v/>
      </c>
      <c r="B276">
        <f>'Catalog Master'!B276</f>
        <v/>
      </c>
      <c r="C276">
        <f>'Catalog Master'!O276</f>
        <v/>
      </c>
      <c r="D276">
        <f>'Catalog Master'!F276</f>
        <v/>
      </c>
      <c r="E276">
        <f>IF('Catalog Master'!Q276&lt;&gt;"","Y","N")</f>
        <v/>
      </c>
      <c r="F276">
        <f>IF('Catalog Master'!S276&lt;&gt;"","Y","N")</f>
        <v/>
      </c>
      <c r="G276">
        <f>IF('Catalog Master'!X276&lt;&gt;"","Y","N")</f>
        <v/>
      </c>
      <c r="H276">
        <f>IF('Catalog Master'!V276&lt;&gt;"","Y","N")</f>
        <v/>
      </c>
      <c r="I276">
        <f>IF(AND('Catalog Master'!Z276&lt;&gt;"",'Catalog Master'!AA276&lt;&gt;"",'Catalog Master'!AB276&lt;&gt;""),"Y","N")</f>
        <v/>
      </c>
      <c r="J276">
        <f>'Catalog Master'!N276</f>
        <v/>
      </c>
      <c r="K276">
        <f>'Catalog Master'!AL276</f>
        <v/>
      </c>
      <c r="L276">
        <f>IF(AND(E276="Y",F276="Y",G276="Y",H276="Y",I276="Y"),"Y","N")</f>
        <v/>
      </c>
    </row>
    <row r="277">
      <c r="A277">
        <f>'Catalog Master'!A277</f>
        <v/>
      </c>
      <c r="B277">
        <f>'Catalog Master'!B277</f>
        <v/>
      </c>
      <c r="C277">
        <f>'Catalog Master'!O277</f>
        <v/>
      </c>
      <c r="D277">
        <f>'Catalog Master'!F277</f>
        <v/>
      </c>
      <c r="E277">
        <f>IF('Catalog Master'!Q277&lt;&gt;"","Y","N")</f>
        <v/>
      </c>
      <c r="F277">
        <f>IF('Catalog Master'!S277&lt;&gt;"","Y","N")</f>
        <v/>
      </c>
      <c r="G277">
        <f>IF('Catalog Master'!X277&lt;&gt;"","Y","N")</f>
        <v/>
      </c>
      <c r="H277">
        <f>IF('Catalog Master'!V277&lt;&gt;"","Y","N")</f>
        <v/>
      </c>
      <c r="I277">
        <f>IF(AND('Catalog Master'!Z277&lt;&gt;"",'Catalog Master'!AA277&lt;&gt;"",'Catalog Master'!AB277&lt;&gt;""),"Y","N")</f>
        <v/>
      </c>
      <c r="J277">
        <f>'Catalog Master'!N277</f>
        <v/>
      </c>
      <c r="K277">
        <f>'Catalog Master'!AL277</f>
        <v/>
      </c>
      <c r="L277">
        <f>IF(AND(E277="Y",F277="Y",G277="Y",H277="Y",I277="Y"),"Y","N")</f>
        <v/>
      </c>
    </row>
    <row r="278">
      <c r="A278">
        <f>'Catalog Master'!A278</f>
        <v/>
      </c>
      <c r="B278">
        <f>'Catalog Master'!B278</f>
        <v/>
      </c>
      <c r="C278">
        <f>'Catalog Master'!O278</f>
        <v/>
      </c>
      <c r="D278">
        <f>'Catalog Master'!F278</f>
        <v/>
      </c>
      <c r="E278">
        <f>IF('Catalog Master'!Q278&lt;&gt;"","Y","N")</f>
        <v/>
      </c>
      <c r="F278">
        <f>IF('Catalog Master'!S278&lt;&gt;"","Y","N")</f>
        <v/>
      </c>
      <c r="G278">
        <f>IF('Catalog Master'!X278&lt;&gt;"","Y","N")</f>
        <v/>
      </c>
      <c r="H278">
        <f>IF('Catalog Master'!V278&lt;&gt;"","Y","N")</f>
        <v/>
      </c>
      <c r="I278">
        <f>IF(AND('Catalog Master'!Z278&lt;&gt;"",'Catalog Master'!AA278&lt;&gt;"",'Catalog Master'!AB278&lt;&gt;""),"Y","N")</f>
        <v/>
      </c>
      <c r="J278">
        <f>'Catalog Master'!N278</f>
        <v/>
      </c>
      <c r="K278">
        <f>'Catalog Master'!AL278</f>
        <v/>
      </c>
      <c r="L278">
        <f>IF(AND(E278="Y",F278="Y",G278="Y",H278="Y",I278="Y"),"Y","N")</f>
        <v/>
      </c>
    </row>
    <row r="279">
      <c r="A279">
        <f>'Catalog Master'!A279</f>
        <v/>
      </c>
      <c r="B279">
        <f>'Catalog Master'!B279</f>
        <v/>
      </c>
      <c r="C279">
        <f>'Catalog Master'!O279</f>
        <v/>
      </c>
      <c r="D279">
        <f>'Catalog Master'!F279</f>
        <v/>
      </c>
      <c r="E279">
        <f>IF('Catalog Master'!Q279&lt;&gt;"","Y","N")</f>
        <v/>
      </c>
      <c r="F279">
        <f>IF('Catalog Master'!S279&lt;&gt;"","Y","N")</f>
        <v/>
      </c>
      <c r="G279">
        <f>IF('Catalog Master'!X279&lt;&gt;"","Y","N")</f>
        <v/>
      </c>
      <c r="H279">
        <f>IF('Catalog Master'!V279&lt;&gt;"","Y","N")</f>
        <v/>
      </c>
      <c r="I279">
        <f>IF(AND('Catalog Master'!Z279&lt;&gt;"",'Catalog Master'!AA279&lt;&gt;"",'Catalog Master'!AB279&lt;&gt;""),"Y","N")</f>
        <v/>
      </c>
      <c r="J279">
        <f>'Catalog Master'!N279</f>
        <v/>
      </c>
      <c r="K279">
        <f>'Catalog Master'!AL279</f>
        <v/>
      </c>
      <c r="L279">
        <f>IF(AND(E279="Y",F279="Y",G279="Y",H279="Y",I279="Y"),"Y","N")</f>
        <v/>
      </c>
    </row>
    <row r="280">
      <c r="A280">
        <f>'Catalog Master'!A280</f>
        <v/>
      </c>
      <c r="B280">
        <f>'Catalog Master'!B280</f>
        <v/>
      </c>
      <c r="C280">
        <f>'Catalog Master'!O280</f>
        <v/>
      </c>
      <c r="D280">
        <f>'Catalog Master'!F280</f>
        <v/>
      </c>
      <c r="E280">
        <f>IF('Catalog Master'!Q280&lt;&gt;"","Y","N")</f>
        <v/>
      </c>
      <c r="F280">
        <f>IF('Catalog Master'!S280&lt;&gt;"","Y","N")</f>
        <v/>
      </c>
      <c r="G280">
        <f>IF('Catalog Master'!X280&lt;&gt;"","Y","N")</f>
        <v/>
      </c>
      <c r="H280">
        <f>IF('Catalog Master'!V280&lt;&gt;"","Y","N")</f>
        <v/>
      </c>
      <c r="I280">
        <f>IF(AND('Catalog Master'!Z280&lt;&gt;"",'Catalog Master'!AA280&lt;&gt;"",'Catalog Master'!AB280&lt;&gt;""),"Y","N")</f>
        <v/>
      </c>
      <c r="J280">
        <f>'Catalog Master'!N280</f>
        <v/>
      </c>
      <c r="K280">
        <f>'Catalog Master'!AL280</f>
        <v/>
      </c>
      <c r="L280">
        <f>IF(AND(E280="Y",F280="Y",G280="Y",H280="Y",I280="Y"),"Y","N")</f>
        <v/>
      </c>
    </row>
    <row r="281">
      <c r="A281">
        <f>'Catalog Master'!A281</f>
        <v/>
      </c>
      <c r="B281">
        <f>'Catalog Master'!B281</f>
        <v/>
      </c>
      <c r="C281">
        <f>'Catalog Master'!O281</f>
        <v/>
      </c>
      <c r="D281">
        <f>'Catalog Master'!F281</f>
        <v/>
      </c>
      <c r="E281">
        <f>IF('Catalog Master'!Q281&lt;&gt;"","Y","N")</f>
        <v/>
      </c>
      <c r="F281">
        <f>IF('Catalog Master'!S281&lt;&gt;"","Y","N")</f>
        <v/>
      </c>
      <c r="G281">
        <f>IF('Catalog Master'!X281&lt;&gt;"","Y","N")</f>
        <v/>
      </c>
      <c r="H281">
        <f>IF('Catalog Master'!V281&lt;&gt;"","Y","N")</f>
        <v/>
      </c>
      <c r="I281">
        <f>IF(AND('Catalog Master'!Z281&lt;&gt;"",'Catalog Master'!AA281&lt;&gt;"",'Catalog Master'!AB281&lt;&gt;""),"Y","N")</f>
        <v/>
      </c>
      <c r="J281">
        <f>'Catalog Master'!N281</f>
        <v/>
      </c>
      <c r="K281">
        <f>'Catalog Master'!AL281</f>
        <v/>
      </c>
      <c r="L281">
        <f>IF(AND(E281="Y",F281="Y",G281="Y",H281="Y",I281="Y"),"Y","N")</f>
        <v/>
      </c>
    </row>
    <row r="282">
      <c r="A282">
        <f>'Catalog Master'!A282</f>
        <v/>
      </c>
      <c r="B282">
        <f>'Catalog Master'!B282</f>
        <v/>
      </c>
      <c r="C282">
        <f>'Catalog Master'!O282</f>
        <v/>
      </c>
      <c r="D282">
        <f>'Catalog Master'!F282</f>
        <v/>
      </c>
      <c r="E282">
        <f>IF('Catalog Master'!Q282&lt;&gt;"","Y","N")</f>
        <v/>
      </c>
      <c r="F282">
        <f>IF('Catalog Master'!S282&lt;&gt;"","Y","N")</f>
        <v/>
      </c>
      <c r="G282">
        <f>IF('Catalog Master'!X282&lt;&gt;"","Y","N")</f>
        <v/>
      </c>
      <c r="H282">
        <f>IF('Catalog Master'!V282&lt;&gt;"","Y","N")</f>
        <v/>
      </c>
      <c r="I282">
        <f>IF(AND('Catalog Master'!Z282&lt;&gt;"",'Catalog Master'!AA282&lt;&gt;"",'Catalog Master'!AB282&lt;&gt;""),"Y","N")</f>
        <v/>
      </c>
      <c r="J282">
        <f>'Catalog Master'!N282</f>
        <v/>
      </c>
      <c r="K282">
        <f>'Catalog Master'!AL282</f>
        <v/>
      </c>
      <c r="L282">
        <f>IF(AND(E282="Y",F282="Y",G282="Y",H282="Y",I282="Y"),"Y","N")</f>
        <v/>
      </c>
    </row>
    <row r="283">
      <c r="A283">
        <f>'Catalog Master'!A283</f>
        <v/>
      </c>
      <c r="B283">
        <f>'Catalog Master'!B283</f>
        <v/>
      </c>
      <c r="C283">
        <f>'Catalog Master'!O283</f>
        <v/>
      </c>
      <c r="D283">
        <f>'Catalog Master'!F283</f>
        <v/>
      </c>
      <c r="E283">
        <f>IF('Catalog Master'!Q283&lt;&gt;"","Y","N")</f>
        <v/>
      </c>
      <c r="F283">
        <f>IF('Catalog Master'!S283&lt;&gt;"","Y","N")</f>
        <v/>
      </c>
      <c r="G283">
        <f>IF('Catalog Master'!X283&lt;&gt;"","Y","N")</f>
        <v/>
      </c>
      <c r="H283">
        <f>IF('Catalog Master'!V283&lt;&gt;"","Y","N")</f>
        <v/>
      </c>
      <c r="I283">
        <f>IF(AND('Catalog Master'!Z283&lt;&gt;"",'Catalog Master'!AA283&lt;&gt;"",'Catalog Master'!AB283&lt;&gt;""),"Y","N")</f>
        <v/>
      </c>
      <c r="J283">
        <f>'Catalog Master'!N283</f>
        <v/>
      </c>
      <c r="K283">
        <f>'Catalog Master'!AL283</f>
        <v/>
      </c>
      <c r="L283">
        <f>IF(AND(E283="Y",F283="Y",G283="Y",H283="Y",I283="Y"),"Y","N")</f>
        <v/>
      </c>
    </row>
    <row r="284">
      <c r="A284">
        <f>'Catalog Master'!A284</f>
        <v/>
      </c>
      <c r="B284">
        <f>'Catalog Master'!B284</f>
        <v/>
      </c>
      <c r="C284">
        <f>'Catalog Master'!O284</f>
        <v/>
      </c>
      <c r="D284">
        <f>'Catalog Master'!F284</f>
        <v/>
      </c>
      <c r="E284">
        <f>IF('Catalog Master'!Q284&lt;&gt;"","Y","N")</f>
        <v/>
      </c>
      <c r="F284">
        <f>IF('Catalog Master'!S284&lt;&gt;"","Y","N")</f>
        <v/>
      </c>
      <c r="G284">
        <f>IF('Catalog Master'!X284&lt;&gt;"","Y","N")</f>
        <v/>
      </c>
      <c r="H284">
        <f>IF('Catalog Master'!V284&lt;&gt;"","Y","N")</f>
        <v/>
      </c>
      <c r="I284">
        <f>IF(AND('Catalog Master'!Z284&lt;&gt;"",'Catalog Master'!AA284&lt;&gt;"",'Catalog Master'!AB284&lt;&gt;""),"Y","N")</f>
        <v/>
      </c>
      <c r="J284">
        <f>'Catalog Master'!N284</f>
        <v/>
      </c>
      <c r="K284">
        <f>'Catalog Master'!AL284</f>
        <v/>
      </c>
      <c r="L284">
        <f>IF(AND(E284="Y",F284="Y",G284="Y",H284="Y",I284="Y"),"Y","N")</f>
        <v/>
      </c>
    </row>
    <row r="285">
      <c r="A285">
        <f>'Catalog Master'!A285</f>
        <v/>
      </c>
      <c r="B285">
        <f>'Catalog Master'!B285</f>
        <v/>
      </c>
      <c r="C285">
        <f>'Catalog Master'!O285</f>
        <v/>
      </c>
      <c r="D285">
        <f>'Catalog Master'!F285</f>
        <v/>
      </c>
      <c r="E285">
        <f>IF('Catalog Master'!Q285&lt;&gt;"","Y","N")</f>
        <v/>
      </c>
      <c r="F285">
        <f>IF('Catalog Master'!S285&lt;&gt;"","Y","N")</f>
        <v/>
      </c>
      <c r="G285">
        <f>IF('Catalog Master'!X285&lt;&gt;"","Y","N")</f>
        <v/>
      </c>
      <c r="H285">
        <f>IF('Catalog Master'!V285&lt;&gt;"","Y","N")</f>
        <v/>
      </c>
      <c r="I285">
        <f>IF(AND('Catalog Master'!Z285&lt;&gt;"",'Catalog Master'!AA285&lt;&gt;"",'Catalog Master'!AB285&lt;&gt;""),"Y","N")</f>
        <v/>
      </c>
      <c r="J285">
        <f>'Catalog Master'!N285</f>
        <v/>
      </c>
      <c r="K285">
        <f>'Catalog Master'!AL285</f>
        <v/>
      </c>
      <c r="L285">
        <f>IF(AND(E285="Y",F285="Y",G285="Y",H285="Y",I285="Y"),"Y","N")</f>
        <v/>
      </c>
    </row>
    <row r="286">
      <c r="A286">
        <f>'Catalog Master'!A286</f>
        <v/>
      </c>
      <c r="B286">
        <f>'Catalog Master'!B286</f>
        <v/>
      </c>
      <c r="C286">
        <f>'Catalog Master'!O286</f>
        <v/>
      </c>
      <c r="D286">
        <f>'Catalog Master'!F286</f>
        <v/>
      </c>
      <c r="E286">
        <f>IF('Catalog Master'!Q286&lt;&gt;"","Y","N")</f>
        <v/>
      </c>
      <c r="F286">
        <f>IF('Catalog Master'!S286&lt;&gt;"","Y","N")</f>
        <v/>
      </c>
      <c r="G286">
        <f>IF('Catalog Master'!X286&lt;&gt;"","Y","N")</f>
        <v/>
      </c>
      <c r="H286">
        <f>IF('Catalog Master'!V286&lt;&gt;"","Y","N")</f>
        <v/>
      </c>
      <c r="I286">
        <f>IF(AND('Catalog Master'!Z286&lt;&gt;"",'Catalog Master'!AA286&lt;&gt;"",'Catalog Master'!AB286&lt;&gt;""),"Y","N")</f>
        <v/>
      </c>
      <c r="J286">
        <f>'Catalog Master'!N286</f>
        <v/>
      </c>
      <c r="K286">
        <f>'Catalog Master'!AL286</f>
        <v/>
      </c>
      <c r="L286">
        <f>IF(AND(E286="Y",F286="Y",G286="Y",H286="Y",I286="Y"),"Y","N")</f>
        <v/>
      </c>
    </row>
    <row r="287">
      <c r="A287">
        <f>'Catalog Master'!A287</f>
        <v/>
      </c>
      <c r="B287">
        <f>'Catalog Master'!B287</f>
        <v/>
      </c>
      <c r="C287">
        <f>'Catalog Master'!O287</f>
        <v/>
      </c>
      <c r="D287">
        <f>'Catalog Master'!F287</f>
        <v/>
      </c>
      <c r="E287">
        <f>IF('Catalog Master'!Q287&lt;&gt;"","Y","N")</f>
        <v/>
      </c>
      <c r="F287">
        <f>IF('Catalog Master'!S287&lt;&gt;"","Y","N")</f>
        <v/>
      </c>
      <c r="G287">
        <f>IF('Catalog Master'!X287&lt;&gt;"","Y","N")</f>
        <v/>
      </c>
      <c r="H287">
        <f>IF('Catalog Master'!V287&lt;&gt;"","Y","N")</f>
        <v/>
      </c>
      <c r="I287">
        <f>IF(AND('Catalog Master'!Z287&lt;&gt;"",'Catalog Master'!AA287&lt;&gt;"",'Catalog Master'!AB287&lt;&gt;""),"Y","N")</f>
        <v/>
      </c>
      <c r="J287">
        <f>'Catalog Master'!N287</f>
        <v/>
      </c>
      <c r="K287">
        <f>'Catalog Master'!AL287</f>
        <v/>
      </c>
      <c r="L287">
        <f>IF(AND(E287="Y",F287="Y",G287="Y",H287="Y",I287="Y"),"Y","N")</f>
        <v/>
      </c>
    </row>
    <row r="288">
      <c r="A288">
        <f>'Catalog Master'!A288</f>
        <v/>
      </c>
      <c r="B288">
        <f>'Catalog Master'!B288</f>
        <v/>
      </c>
      <c r="C288">
        <f>'Catalog Master'!O288</f>
        <v/>
      </c>
      <c r="D288">
        <f>'Catalog Master'!F288</f>
        <v/>
      </c>
      <c r="E288">
        <f>IF('Catalog Master'!Q288&lt;&gt;"","Y","N")</f>
        <v/>
      </c>
      <c r="F288">
        <f>IF('Catalog Master'!S288&lt;&gt;"","Y","N")</f>
        <v/>
      </c>
      <c r="G288">
        <f>IF('Catalog Master'!X288&lt;&gt;"","Y","N")</f>
        <v/>
      </c>
      <c r="H288">
        <f>IF('Catalog Master'!V288&lt;&gt;"","Y","N")</f>
        <v/>
      </c>
      <c r="I288">
        <f>IF(AND('Catalog Master'!Z288&lt;&gt;"",'Catalog Master'!AA288&lt;&gt;"",'Catalog Master'!AB288&lt;&gt;""),"Y","N")</f>
        <v/>
      </c>
      <c r="J288">
        <f>'Catalog Master'!N288</f>
        <v/>
      </c>
      <c r="K288">
        <f>'Catalog Master'!AL288</f>
        <v/>
      </c>
      <c r="L288">
        <f>IF(AND(E288="Y",F288="Y",G288="Y",H288="Y",I288="Y"),"Y","N")</f>
        <v/>
      </c>
    </row>
    <row r="289">
      <c r="A289">
        <f>'Catalog Master'!A289</f>
        <v/>
      </c>
      <c r="B289">
        <f>'Catalog Master'!B289</f>
        <v/>
      </c>
      <c r="C289">
        <f>'Catalog Master'!O289</f>
        <v/>
      </c>
      <c r="D289">
        <f>'Catalog Master'!F289</f>
        <v/>
      </c>
      <c r="E289">
        <f>IF('Catalog Master'!Q289&lt;&gt;"","Y","N")</f>
        <v/>
      </c>
      <c r="F289">
        <f>IF('Catalog Master'!S289&lt;&gt;"","Y","N")</f>
        <v/>
      </c>
      <c r="G289">
        <f>IF('Catalog Master'!X289&lt;&gt;"","Y","N")</f>
        <v/>
      </c>
      <c r="H289">
        <f>IF('Catalog Master'!V289&lt;&gt;"","Y","N")</f>
        <v/>
      </c>
      <c r="I289">
        <f>IF(AND('Catalog Master'!Z289&lt;&gt;"",'Catalog Master'!AA289&lt;&gt;"",'Catalog Master'!AB289&lt;&gt;""),"Y","N")</f>
        <v/>
      </c>
      <c r="J289">
        <f>'Catalog Master'!N289</f>
        <v/>
      </c>
      <c r="K289">
        <f>'Catalog Master'!AL289</f>
        <v/>
      </c>
      <c r="L289">
        <f>IF(AND(E289="Y",F289="Y",G289="Y",H289="Y",I289="Y"),"Y","N")</f>
        <v/>
      </c>
    </row>
    <row r="290">
      <c r="A290">
        <f>'Catalog Master'!A290</f>
        <v/>
      </c>
      <c r="B290">
        <f>'Catalog Master'!B290</f>
        <v/>
      </c>
      <c r="C290">
        <f>'Catalog Master'!O290</f>
        <v/>
      </c>
      <c r="D290">
        <f>'Catalog Master'!F290</f>
        <v/>
      </c>
      <c r="E290">
        <f>IF('Catalog Master'!Q290&lt;&gt;"","Y","N")</f>
        <v/>
      </c>
      <c r="F290">
        <f>IF('Catalog Master'!S290&lt;&gt;"","Y","N")</f>
        <v/>
      </c>
      <c r="G290">
        <f>IF('Catalog Master'!X290&lt;&gt;"","Y","N")</f>
        <v/>
      </c>
      <c r="H290">
        <f>IF('Catalog Master'!V290&lt;&gt;"","Y","N")</f>
        <v/>
      </c>
      <c r="I290">
        <f>IF(AND('Catalog Master'!Z290&lt;&gt;"",'Catalog Master'!AA290&lt;&gt;"",'Catalog Master'!AB290&lt;&gt;""),"Y","N")</f>
        <v/>
      </c>
      <c r="J290">
        <f>'Catalog Master'!N290</f>
        <v/>
      </c>
      <c r="K290">
        <f>'Catalog Master'!AL290</f>
        <v/>
      </c>
      <c r="L290">
        <f>IF(AND(E290="Y",F290="Y",G290="Y",H290="Y",I290="Y"),"Y","N")</f>
        <v/>
      </c>
    </row>
    <row r="291">
      <c r="A291">
        <f>'Catalog Master'!A291</f>
        <v/>
      </c>
      <c r="B291">
        <f>'Catalog Master'!B291</f>
        <v/>
      </c>
      <c r="C291">
        <f>'Catalog Master'!O291</f>
        <v/>
      </c>
      <c r="D291">
        <f>'Catalog Master'!F291</f>
        <v/>
      </c>
      <c r="E291">
        <f>IF('Catalog Master'!Q291&lt;&gt;"","Y","N")</f>
        <v/>
      </c>
      <c r="F291">
        <f>IF('Catalog Master'!S291&lt;&gt;"","Y","N")</f>
        <v/>
      </c>
      <c r="G291">
        <f>IF('Catalog Master'!X291&lt;&gt;"","Y","N")</f>
        <v/>
      </c>
      <c r="H291">
        <f>IF('Catalog Master'!V291&lt;&gt;"","Y","N")</f>
        <v/>
      </c>
      <c r="I291">
        <f>IF(AND('Catalog Master'!Z291&lt;&gt;"",'Catalog Master'!AA291&lt;&gt;"",'Catalog Master'!AB291&lt;&gt;""),"Y","N")</f>
        <v/>
      </c>
      <c r="J291">
        <f>'Catalog Master'!N291</f>
        <v/>
      </c>
      <c r="K291">
        <f>'Catalog Master'!AL291</f>
        <v/>
      </c>
      <c r="L291">
        <f>IF(AND(E291="Y",F291="Y",G291="Y",H291="Y",I291="Y"),"Y","N")</f>
        <v/>
      </c>
    </row>
    <row r="292">
      <c r="A292">
        <f>'Catalog Master'!A292</f>
        <v/>
      </c>
      <c r="B292">
        <f>'Catalog Master'!B292</f>
        <v/>
      </c>
      <c r="C292">
        <f>'Catalog Master'!O292</f>
        <v/>
      </c>
      <c r="D292">
        <f>'Catalog Master'!F292</f>
        <v/>
      </c>
      <c r="E292">
        <f>IF('Catalog Master'!Q292&lt;&gt;"","Y","N")</f>
        <v/>
      </c>
      <c r="F292">
        <f>IF('Catalog Master'!S292&lt;&gt;"","Y","N")</f>
        <v/>
      </c>
      <c r="G292">
        <f>IF('Catalog Master'!X292&lt;&gt;"","Y","N")</f>
        <v/>
      </c>
      <c r="H292">
        <f>IF('Catalog Master'!V292&lt;&gt;"","Y","N")</f>
        <v/>
      </c>
      <c r="I292">
        <f>IF(AND('Catalog Master'!Z292&lt;&gt;"",'Catalog Master'!AA292&lt;&gt;"",'Catalog Master'!AB292&lt;&gt;""),"Y","N")</f>
        <v/>
      </c>
      <c r="J292">
        <f>'Catalog Master'!N292</f>
        <v/>
      </c>
      <c r="K292">
        <f>'Catalog Master'!AL292</f>
        <v/>
      </c>
      <c r="L292">
        <f>IF(AND(E292="Y",F292="Y",G292="Y",H292="Y",I292="Y"),"Y","N")</f>
        <v/>
      </c>
    </row>
    <row r="293">
      <c r="A293">
        <f>'Catalog Master'!A293</f>
        <v/>
      </c>
      <c r="B293">
        <f>'Catalog Master'!B293</f>
        <v/>
      </c>
      <c r="C293">
        <f>'Catalog Master'!O293</f>
        <v/>
      </c>
      <c r="D293">
        <f>'Catalog Master'!F293</f>
        <v/>
      </c>
      <c r="E293">
        <f>IF('Catalog Master'!Q293&lt;&gt;"","Y","N")</f>
        <v/>
      </c>
      <c r="F293">
        <f>IF('Catalog Master'!S293&lt;&gt;"","Y","N")</f>
        <v/>
      </c>
      <c r="G293">
        <f>IF('Catalog Master'!X293&lt;&gt;"","Y","N")</f>
        <v/>
      </c>
      <c r="H293">
        <f>IF('Catalog Master'!V293&lt;&gt;"","Y","N")</f>
        <v/>
      </c>
      <c r="I293">
        <f>IF(AND('Catalog Master'!Z293&lt;&gt;"",'Catalog Master'!AA293&lt;&gt;"",'Catalog Master'!AB293&lt;&gt;""),"Y","N")</f>
        <v/>
      </c>
      <c r="J293">
        <f>'Catalog Master'!N293</f>
        <v/>
      </c>
      <c r="K293">
        <f>'Catalog Master'!AL293</f>
        <v/>
      </c>
      <c r="L293">
        <f>IF(AND(E293="Y",F293="Y",G293="Y",H293="Y",I293="Y"),"Y","N")</f>
        <v/>
      </c>
    </row>
    <row r="294">
      <c r="A294">
        <f>'Catalog Master'!A294</f>
        <v/>
      </c>
      <c r="B294">
        <f>'Catalog Master'!B294</f>
        <v/>
      </c>
      <c r="C294">
        <f>'Catalog Master'!O294</f>
        <v/>
      </c>
      <c r="D294">
        <f>'Catalog Master'!F294</f>
        <v/>
      </c>
      <c r="E294">
        <f>IF('Catalog Master'!Q294&lt;&gt;"","Y","N")</f>
        <v/>
      </c>
      <c r="F294">
        <f>IF('Catalog Master'!S294&lt;&gt;"","Y","N")</f>
        <v/>
      </c>
      <c r="G294">
        <f>IF('Catalog Master'!X294&lt;&gt;"","Y","N")</f>
        <v/>
      </c>
      <c r="H294">
        <f>IF('Catalog Master'!V294&lt;&gt;"","Y","N")</f>
        <v/>
      </c>
      <c r="I294">
        <f>IF(AND('Catalog Master'!Z294&lt;&gt;"",'Catalog Master'!AA294&lt;&gt;"",'Catalog Master'!AB294&lt;&gt;""),"Y","N")</f>
        <v/>
      </c>
      <c r="J294">
        <f>'Catalog Master'!N294</f>
        <v/>
      </c>
      <c r="K294">
        <f>'Catalog Master'!AL294</f>
        <v/>
      </c>
      <c r="L294">
        <f>IF(AND(E294="Y",F294="Y",G294="Y",H294="Y",I294="Y"),"Y","N")</f>
        <v/>
      </c>
    </row>
    <row r="295">
      <c r="A295">
        <f>'Catalog Master'!A295</f>
        <v/>
      </c>
      <c r="B295">
        <f>'Catalog Master'!B295</f>
        <v/>
      </c>
      <c r="C295">
        <f>'Catalog Master'!O295</f>
        <v/>
      </c>
      <c r="D295">
        <f>'Catalog Master'!F295</f>
        <v/>
      </c>
      <c r="E295">
        <f>IF('Catalog Master'!Q295&lt;&gt;"","Y","N")</f>
        <v/>
      </c>
      <c r="F295">
        <f>IF('Catalog Master'!S295&lt;&gt;"","Y","N")</f>
        <v/>
      </c>
      <c r="G295">
        <f>IF('Catalog Master'!X295&lt;&gt;"","Y","N")</f>
        <v/>
      </c>
      <c r="H295">
        <f>IF('Catalog Master'!V295&lt;&gt;"","Y","N")</f>
        <v/>
      </c>
      <c r="I295">
        <f>IF(AND('Catalog Master'!Z295&lt;&gt;"",'Catalog Master'!AA295&lt;&gt;"",'Catalog Master'!AB295&lt;&gt;""),"Y","N")</f>
        <v/>
      </c>
      <c r="J295">
        <f>'Catalog Master'!N295</f>
        <v/>
      </c>
      <c r="K295">
        <f>'Catalog Master'!AL295</f>
        <v/>
      </c>
      <c r="L295">
        <f>IF(AND(E295="Y",F295="Y",G295="Y",H295="Y",I295="Y"),"Y","N")</f>
        <v/>
      </c>
    </row>
    <row r="296">
      <c r="A296">
        <f>'Catalog Master'!A296</f>
        <v/>
      </c>
      <c r="B296">
        <f>'Catalog Master'!B296</f>
        <v/>
      </c>
      <c r="C296">
        <f>'Catalog Master'!O296</f>
        <v/>
      </c>
      <c r="D296">
        <f>'Catalog Master'!F296</f>
        <v/>
      </c>
      <c r="E296">
        <f>IF('Catalog Master'!Q296&lt;&gt;"","Y","N")</f>
        <v/>
      </c>
      <c r="F296">
        <f>IF('Catalog Master'!S296&lt;&gt;"","Y","N")</f>
        <v/>
      </c>
      <c r="G296">
        <f>IF('Catalog Master'!X296&lt;&gt;"","Y","N")</f>
        <v/>
      </c>
      <c r="H296">
        <f>IF('Catalog Master'!V296&lt;&gt;"","Y","N")</f>
        <v/>
      </c>
      <c r="I296">
        <f>IF(AND('Catalog Master'!Z296&lt;&gt;"",'Catalog Master'!AA296&lt;&gt;"",'Catalog Master'!AB296&lt;&gt;""),"Y","N")</f>
        <v/>
      </c>
      <c r="J296">
        <f>'Catalog Master'!N296</f>
        <v/>
      </c>
      <c r="K296">
        <f>'Catalog Master'!AL296</f>
        <v/>
      </c>
      <c r="L296">
        <f>IF(AND(E296="Y",F296="Y",G296="Y",H296="Y",I296="Y"),"Y","N")</f>
        <v/>
      </c>
    </row>
    <row r="297">
      <c r="A297">
        <f>'Catalog Master'!A297</f>
        <v/>
      </c>
      <c r="B297">
        <f>'Catalog Master'!B297</f>
        <v/>
      </c>
      <c r="C297">
        <f>'Catalog Master'!O297</f>
        <v/>
      </c>
      <c r="D297">
        <f>'Catalog Master'!F297</f>
        <v/>
      </c>
      <c r="E297">
        <f>IF('Catalog Master'!Q297&lt;&gt;"","Y","N")</f>
        <v/>
      </c>
      <c r="F297">
        <f>IF('Catalog Master'!S297&lt;&gt;"","Y","N")</f>
        <v/>
      </c>
      <c r="G297">
        <f>IF('Catalog Master'!X297&lt;&gt;"","Y","N")</f>
        <v/>
      </c>
      <c r="H297">
        <f>IF('Catalog Master'!V297&lt;&gt;"","Y","N")</f>
        <v/>
      </c>
      <c r="I297">
        <f>IF(AND('Catalog Master'!Z297&lt;&gt;"",'Catalog Master'!AA297&lt;&gt;"",'Catalog Master'!AB297&lt;&gt;""),"Y","N")</f>
        <v/>
      </c>
      <c r="J297">
        <f>'Catalog Master'!N297</f>
        <v/>
      </c>
      <c r="K297">
        <f>'Catalog Master'!AL297</f>
        <v/>
      </c>
      <c r="L297">
        <f>IF(AND(E297="Y",F297="Y",G297="Y",H297="Y",I297="Y"),"Y","N")</f>
        <v/>
      </c>
    </row>
    <row r="298">
      <c r="A298">
        <f>'Catalog Master'!A298</f>
        <v/>
      </c>
      <c r="B298">
        <f>'Catalog Master'!B298</f>
        <v/>
      </c>
      <c r="C298">
        <f>'Catalog Master'!O298</f>
        <v/>
      </c>
      <c r="D298">
        <f>'Catalog Master'!F298</f>
        <v/>
      </c>
      <c r="E298">
        <f>IF('Catalog Master'!Q298&lt;&gt;"","Y","N")</f>
        <v/>
      </c>
      <c r="F298">
        <f>IF('Catalog Master'!S298&lt;&gt;"","Y","N")</f>
        <v/>
      </c>
      <c r="G298">
        <f>IF('Catalog Master'!X298&lt;&gt;"","Y","N")</f>
        <v/>
      </c>
      <c r="H298">
        <f>IF('Catalog Master'!V298&lt;&gt;"","Y","N")</f>
        <v/>
      </c>
      <c r="I298">
        <f>IF(AND('Catalog Master'!Z298&lt;&gt;"",'Catalog Master'!AA298&lt;&gt;"",'Catalog Master'!AB298&lt;&gt;""),"Y","N")</f>
        <v/>
      </c>
      <c r="J298">
        <f>'Catalog Master'!N298</f>
        <v/>
      </c>
      <c r="K298">
        <f>'Catalog Master'!AL298</f>
        <v/>
      </c>
      <c r="L298">
        <f>IF(AND(E298="Y",F298="Y",G298="Y",H298="Y",I298="Y"),"Y","N")</f>
        <v/>
      </c>
    </row>
    <row r="299">
      <c r="A299">
        <f>'Catalog Master'!A299</f>
        <v/>
      </c>
      <c r="B299">
        <f>'Catalog Master'!B299</f>
        <v/>
      </c>
      <c r="C299">
        <f>'Catalog Master'!O299</f>
        <v/>
      </c>
      <c r="D299">
        <f>'Catalog Master'!F299</f>
        <v/>
      </c>
      <c r="E299">
        <f>IF('Catalog Master'!Q299&lt;&gt;"","Y","N")</f>
        <v/>
      </c>
      <c r="F299">
        <f>IF('Catalog Master'!S299&lt;&gt;"","Y","N")</f>
        <v/>
      </c>
      <c r="G299">
        <f>IF('Catalog Master'!X299&lt;&gt;"","Y","N")</f>
        <v/>
      </c>
      <c r="H299">
        <f>IF('Catalog Master'!V299&lt;&gt;"","Y","N")</f>
        <v/>
      </c>
      <c r="I299">
        <f>IF(AND('Catalog Master'!Z299&lt;&gt;"",'Catalog Master'!AA299&lt;&gt;"",'Catalog Master'!AB299&lt;&gt;""),"Y","N")</f>
        <v/>
      </c>
      <c r="J299">
        <f>'Catalog Master'!N299</f>
        <v/>
      </c>
      <c r="K299">
        <f>'Catalog Master'!AL299</f>
        <v/>
      </c>
      <c r="L299">
        <f>IF(AND(E299="Y",F299="Y",G299="Y",H299="Y",I299="Y"),"Y","N")</f>
        <v/>
      </c>
    </row>
    <row r="300">
      <c r="A300">
        <f>'Catalog Master'!A300</f>
        <v/>
      </c>
      <c r="B300">
        <f>'Catalog Master'!B300</f>
        <v/>
      </c>
      <c r="C300">
        <f>'Catalog Master'!O300</f>
        <v/>
      </c>
      <c r="D300">
        <f>'Catalog Master'!F300</f>
        <v/>
      </c>
      <c r="E300">
        <f>IF('Catalog Master'!Q300&lt;&gt;"","Y","N")</f>
        <v/>
      </c>
      <c r="F300">
        <f>IF('Catalog Master'!S300&lt;&gt;"","Y","N")</f>
        <v/>
      </c>
      <c r="G300">
        <f>IF('Catalog Master'!X300&lt;&gt;"","Y","N")</f>
        <v/>
      </c>
      <c r="H300">
        <f>IF('Catalog Master'!V300&lt;&gt;"","Y","N")</f>
        <v/>
      </c>
      <c r="I300">
        <f>IF(AND('Catalog Master'!Z300&lt;&gt;"",'Catalog Master'!AA300&lt;&gt;"",'Catalog Master'!AB300&lt;&gt;""),"Y","N")</f>
        <v/>
      </c>
      <c r="J300">
        <f>'Catalog Master'!N300</f>
        <v/>
      </c>
      <c r="K300">
        <f>'Catalog Master'!AL300</f>
        <v/>
      </c>
      <c r="L300">
        <f>IF(AND(E300="Y",F300="Y",G300="Y",H300="Y",I300="Y"),"Y","N")</f>
        <v/>
      </c>
    </row>
    <row r="301">
      <c r="A301">
        <f>'Catalog Master'!A301</f>
        <v/>
      </c>
      <c r="B301">
        <f>'Catalog Master'!B301</f>
        <v/>
      </c>
      <c r="C301">
        <f>'Catalog Master'!O301</f>
        <v/>
      </c>
      <c r="D301">
        <f>'Catalog Master'!F301</f>
        <v/>
      </c>
      <c r="E301">
        <f>IF('Catalog Master'!Q301&lt;&gt;"","Y","N")</f>
        <v/>
      </c>
      <c r="F301">
        <f>IF('Catalog Master'!S301&lt;&gt;"","Y","N")</f>
        <v/>
      </c>
      <c r="G301">
        <f>IF('Catalog Master'!X301&lt;&gt;"","Y","N")</f>
        <v/>
      </c>
      <c r="H301">
        <f>IF('Catalog Master'!V301&lt;&gt;"","Y","N")</f>
        <v/>
      </c>
      <c r="I301">
        <f>IF(AND('Catalog Master'!Z301&lt;&gt;"",'Catalog Master'!AA301&lt;&gt;"",'Catalog Master'!AB301&lt;&gt;""),"Y","N")</f>
        <v/>
      </c>
      <c r="J301">
        <f>'Catalog Master'!N301</f>
        <v/>
      </c>
      <c r="K301">
        <f>'Catalog Master'!AL301</f>
        <v/>
      </c>
      <c r="L301">
        <f>IF(AND(E301="Y",F301="Y",G301="Y",H301="Y",I301="Y"),"Y","N")</f>
        <v/>
      </c>
    </row>
    <row r="302">
      <c r="A302">
        <f>'Catalog Master'!A302</f>
        <v/>
      </c>
      <c r="B302">
        <f>'Catalog Master'!B302</f>
        <v/>
      </c>
      <c r="C302">
        <f>'Catalog Master'!O302</f>
        <v/>
      </c>
      <c r="D302">
        <f>'Catalog Master'!F302</f>
        <v/>
      </c>
      <c r="E302">
        <f>IF('Catalog Master'!Q302&lt;&gt;"","Y","N")</f>
        <v/>
      </c>
      <c r="F302">
        <f>IF('Catalog Master'!S302&lt;&gt;"","Y","N")</f>
        <v/>
      </c>
      <c r="G302">
        <f>IF('Catalog Master'!X302&lt;&gt;"","Y","N")</f>
        <v/>
      </c>
      <c r="H302">
        <f>IF('Catalog Master'!V302&lt;&gt;"","Y","N")</f>
        <v/>
      </c>
      <c r="I302">
        <f>IF(AND('Catalog Master'!Z302&lt;&gt;"",'Catalog Master'!AA302&lt;&gt;"",'Catalog Master'!AB302&lt;&gt;""),"Y","N")</f>
        <v/>
      </c>
      <c r="J302">
        <f>'Catalog Master'!N302</f>
        <v/>
      </c>
      <c r="K302">
        <f>'Catalog Master'!AL302</f>
        <v/>
      </c>
      <c r="L302">
        <f>IF(AND(E302="Y",F302="Y",G302="Y",H302="Y",I302="Y"),"Y","N")</f>
        <v/>
      </c>
    </row>
    <row r="303">
      <c r="A303">
        <f>'Catalog Master'!A303</f>
        <v/>
      </c>
      <c r="B303">
        <f>'Catalog Master'!B303</f>
        <v/>
      </c>
      <c r="C303">
        <f>'Catalog Master'!O303</f>
        <v/>
      </c>
      <c r="D303">
        <f>'Catalog Master'!F303</f>
        <v/>
      </c>
      <c r="E303">
        <f>IF('Catalog Master'!Q303&lt;&gt;"","Y","N")</f>
        <v/>
      </c>
      <c r="F303">
        <f>IF('Catalog Master'!S303&lt;&gt;"","Y","N")</f>
        <v/>
      </c>
      <c r="G303">
        <f>IF('Catalog Master'!X303&lt;&gt;"","Y","N")</f>
        <v/>
      </c>
      <c r="H303">
        <f>IF('Catalog Master'!V303&lt;&gt;"","Y","N")</f>
        <v/>
      </c>
      <c r="I303">
        <f>IF(AND('Catalog Master'!Z303&lt;&gt;"",'Catalog Master'!AA303&lt;&gt;"",'Catalog Master'!AB303&lt;&gt;""),"Y","N")</f>
        <v/>
      </c>
      <c r="J303">
        <f>'Catalog Master'!N303</f>
        <v/>
      </c>
      <c r="K303">
        <f>'Catalog Master'!AL303</f>
        <v/>
      </c>
      <c r="L303">
        <f>IF(AND(E303="Y",F303="Y",G303="Y",H303="Y",I303="Y"),"Y","N")</f>
        <v/>
      </c>
    </row>
    <row r="304">
      <c r="A304">
        <f>'Catalog Master'!A304</f>
        <v/>
      </c>
      <c r="B304">
        <f>'Catalog Master'!B304</f>
        <v/>
      </c>
      <c r="C304">
        <f>'Catalog Master'!O304</f>
        <v/>
      </c>
      <c r="D304">
        <f>'Catalog Master'!F304</f>
        <v/>
      </c>
      <c r="E304">
        <f>IF('Catalog Master'!Q304&lt;&gt;"","Y","N")</f>
        <v/>
      </c>
      <c r="F304">
        <f>IF('Catalog Master'!S304&lt;&gt;"","Y","N")</f>
        <v/>
      </c>
      <c r="G304">
        <f>IF('Catalog Master'!X304&lt;&gt;"","Y","N")</f>
        <v/>
      </c>
      <c r="H304">
        <f>IF('Catalog Master'!V304&lt;&gt;"","Y","N")</f>
        <v/>
      </c>
      <c r="I304">
        <f>IF(AND('Catalog Master'!Z304&lt;&gt;"",'Catalog Master'!AA304&lt;&gt;"",'Catalog Master'!AB304&lt;&gt;""),"Y","N")</f>
        <v/>
      </c>
      <c r="J304">
        <f>'Catalog Master'!N304</f>
        <v/>
      </c>
      <c r="K304">
        <f>'Catalog Master'!AL304</f>
        <v/>
      </c>
      <c r="L304">
        <f>IF(AND(E304="Y",F304="Y",G304="Y",H304="Y",I304="Y"),"Y","N")</f>
        <v/>
      </c>
    </row>
    <row r="305">
      <c r="A305">
        <f>'Catalog Master'!A305</f>
        <v/>
      </c>
      <c r="B305">
        <f>'Catalog Master'!B305</f>
        <v/>
      </c>
      <c r="C305">
        <f>'Catalog Master'!O305</f>
        <v/>
      </c>
      <c r="D305">
        <f>'Catalog Master'!F305</f>
        <v/>
      </c>
      <c r="E305">
        <f>IF('Catalog Master'!Q305&lt;&gt;"","Y","N")</f>
        <v/>
      </c>
      <c r="F305">
        <f>IF('Catalog Master'!S305&lt;&gt;"","Y","N")</f>
        <v/>
      </c>
      <c r="G305">
        <f>IF('Catalog Master'!X305&lt;&gt;"","Y","N")</f>
        <v/>
      </c>
      <c r="H305">
        <f>IF('Catalog Master'!V305&lt;&gt;"","Y","N")</f>
        <v/>
      </c>
      <c r="I305">
        <f>IF(AND('Catalog Master'!Z305&lt;&gt;"",'Catalog Master'!AA305&lt;&gt;"",'Catalog Master'!AB305&lt;&gt;""),"Y","N")</f>
        <v/>
      </c>
      <c r="J305">
        <f>'Catalog Master'!N305</f>
        <v/>
      </c>
      <c r="K305">
        <f>'Catalog Master'!AL305</f>
        <v/>
      </c>
      <c r="L305">
        <f>IF(AND(E305="Y",F305="Y",G305="Y",H305="Y",I305="Y"),"Y","N")</f>
        <v/>
      </c>
    </row>
    <row r="306">
      <c r="A306">
        <f>'Catalog Master'!A306</f>
        <v/>
      </c>
      <c r="B306">
        <f>'Catalog Master'!B306</f>
        <v/>
      </c>
      <c r="C306">
        <f>'Catalog Master'!O306</f>
        <v/>
      </c>
      <c r="D306">
        <f>'Catalog Master'!F306</f>
        <v/>
      </c>
      <c r="E306">
        <f>IF('Catalog Master'!Q306&lt;&gt;"","Y","N")</f>
        <v/>
      </c>
      <c r="F306">
        <f>IF('Catalog Master'!S306&lt;&gt;"","Y","N")</f>
        <v/>
      </c>
      <c r="G306">
        <f>IF('Catalog Master'!X306&lt;&gt;"","Y","N")</f>
        <v/>
      </c>
      <c r="H306">
        <f>IF('Catalog Master'!V306&lt;&gt;"","Y","N")</f>
        <v/>
      </c>
      <c r="I306">
        <f>IF(AND('Catalog Master'!Z306&lt;&gt;"",'Catalog Master'!AA306&lt;&gt;"",'Catalog Master'!AB306&lt;&gt;""),"Y","N")</f>
        <v/>
      </c>
      <c r="J306">
        <f>'Catalog Master'!N306</f>
        <v/>
      </c>
      <c r="K306">
        <f>'Catalog Master'!AL306</f>
        <v/>
      </c>
      <c r="L306">
        <f>IF(AND(E306="Y",F306="Y",G306="Y",H306="Y",I306="Y"),"Y","N")</f>
        <v/>
      </c>
    </row>
    <row r="307">
      <c r="A307">
        <f>'Catalog Master'!A307</f>
        <v/>
      </c>
      <c r="B307">
        <f>'Catalog Master'!B307</f>
        <v/>
      </c>
      <c r="C307">
        <f>'Catalog Master'!O307</f>
        <v/>
      </c>
      <c r="D307">
        <f>'Catalog Master'!F307</f>
        <v/>
      </c>
      <c r="E307">
        <f>IF('Catalog Master'!Q307&lt;&gt;"","Y","N")</f>
        <v/>
      </c>
      <c r="F307">
        <f>IF('Catalog Master'!S307&lt;&gt;"","Y","N")</f>
        <v/>
      </c>
      <c r="G307">
        <f>IF('Catalog Master'!X307&lt;&gt;"","Y","N")</f>
        <v/>
      </c>
      <c r="H307">
        <f>IF('Catalog Master'!V307&lt;&gt;"","Y","N")</f>
        <v/>
      </c>
      <c r="I307">
        <f>IF(AND('Catalog Master'!Z307&lt;&gt;"",'Catalog Master'!AA307&lt;&gt;"",'Catalog Master'!AB307&lt;&gt;""),"Y","N")</f>
        <v/>
      </c>
      <c r="J307">
        <f>'Catalog Master'!N307</f>
        <v/>
      </c>
      <c r="K307">
        <f>'Catalog Master'!AL307</f>
        <v/>
      </c>
      <c r="L307">
        <f>IF(AND(E307="Y",F307="Y",G307="Y",H307="Y",I307="Y"),"Y","N")</f>
        <v/>
      </c>
    </row>
    <row r="308">
      <c r="A308">
        <f>'Catalog Master'!A308</f>
        <v/>
      </c>
      <c r="B308">
        <f>'Catalog Master'!B308</f>
        <v/>
      </c>
      <c r="C308">
        <f>'Catalog Master'!O308</f>
        <v/>
      </c>
      <c r="D308">
        <f>'Catalog Master'!F308</f>
        <v/>
      </c>
      <c r="E308">
        <f>IF('Catalog Master'!Q308&lt;&gt;"","Y","N")</f>
        <v/>
      </c>
      <c r="F308">
        <f>IF('Catalog Master'!S308&lt;&gt;"","Y","N")</f>
        <v/>
      </c>
      <c r="G308">
        <f>IF('Catalog Master'!X308&lt;&gt;"","Y","N")</f>
        <v/>
      </c>
      <c r="H308">
        <f>IF('Catalog Master'!V308&lt;&gt;"","Y","N")</f>
        <v/>
      </c>
      <c r="I308">
        <f>IF(AND('Catalog Master'!Z308&lt;&gt;"",'Catalog Master'!AA308&lt;&gt;"",'Catalog Master'!AB308&lt;&gt;""),"Y","N")</f>
        <v/>
      </c>
      <c r="J308">
        <f>'Catalog Master'!N308</f>
        <v/>
      </c>
      <c r="K308">
        <f>'Catalog Master'!AL308</f>
        <v/>
      </c>
      <c r="L308">
        <f>IF(AND(E308="Y",F308="Y",G308="Y",H308="Y",I308="Y"),"Y","N")</f>
        <v/>
      </c>
    </row>
    <row r="309">
      <c r="A309">
        <f>'Catalog Master'!A309</f>
        <v/>
      </c>
      <c r="B309">
        <f>'Catalog Master'!B309</f>
        <v/>
      </c>
      <c r="C309">
        <f>'Catalog Master'!O309</f>
        <v/>
      </c>
      <c r="D309">
        <f>'Catalog Master'!F309</f>
        <v/>
      </c>
      <c r="E309">
        <f>IF('Catalog Master'!Q309&lt;&gt;"","Y","N")</f>
        <v/>
      </c>
      <c r="F309">
        <f>IF('Catalog Master'!S309&lt;&gt;"","Y","N")</f>
        <v/>
      </c>
      <c r="G309">
        <f>IF('Catalog Master'!X309&lt;&gt;"","Y","N")</f>
        <v/>
      </c>
      <c r="H309">
        <f>IF('Catalog Master'!V309&lt;&gt;"","Y","N")</f>
        <v/>
      </c>
      <c r="I309">
        <f>IF(AND('Catalog Master'!Z309&lt;&gt;"",'Catalog Master'!AA309&lt;&gt;"",'Catalog Master'!AB309&lt;&gt;""),"Y","N")</f>
        <v/>
      </c>
      <c r="J309">
        <f>'Catalog Master'!N309</f>
        <v/>
      </c>
      <c r="K309">
        <f>'Catalog Master'!AL309</f>
        <v/>
      </c>
      <c r="L309">
        <f>IF(AND(E309="Y",F309="Y",G309="Y",H309="Y",I309="Y"),"Y","N")</f>
        <v/>
      </c>
    </row>
    <row r="310">
      <c r="A310">
        <f>'Catalog Master'!A310</f>
        <v/>
      </c>
      <c r="B310">
        <f>'Catalog Master'!B310</f>
        <v/>
      </c>
      <c r="C310">
        <f>'Catalog Master'!O310</f>
        <v/>
      </c>
      <c r="D310">
        <f>'Catalog Master'!F310</f>
        <v/>
      </c>
      <c r="E310">
        <f>IF('Catalog Master'!Q310&lt;&gt;"","Y","N")</f>
        <v/>
      </c>
      <c r="F310">
        <f>IF('Catalog Master'!S310&lt;&gt;"","Y","N")</f>
        <v/>
      </c>
      <c r="G310">
        <f>IF('Catalog Master'!X310&lt;&gt;"","Y","N")</f>
        <v/>
      </c>
      <c r="H310">
        <f>IF('Catalog Master'!V310&lt;&gt;"","Y","N")</f>
        <v/>
      </c>
      <c r="I310">
        <f>IF(AND('Catalog Master'!Z310&lt;&gt;"",'Catalog Master'!AA310&lt;&gt;"",'Catalog Master'!AB310&lt;&gt;""),"Y","N")</f>
        <v/>
      </c>
      <c r="J310">
        <f>'Catalog Master'!N310</f>
        <v/>
      </c>
      <c r="K310">
        <f>'Catalog Master'!AL310</f>
        <v/>
      </c>
      <c r="L310">
        <f>IF(AND(E310="Y",F310="Y",G310="Y",H310="Y",I310="Y"),"Y","N")</f>
        <v/>
      </c>
    </row>
    <row r="311">
      <c r="A311">
        <f>'Catalog Master'!A311</f>
        <v/>
      </c>
      <c r="B311">
        <f>'Catalog Master'!B311</f>
        <v/>
      </c>
      <c r="C311">
        <f>'Catalog Master'!O311</f>
        <v/>
      </c>
      <c r="D311">
        <f>'Catalog Master'!F311</f>
        <v/>
      </c>
      <c r="E311">
        <f>IF('Catalog Master'!Q311&lt;&gt;"","Y","N")</f>
        <v/>
      </c>
      <c r="F311">
        <f>IF('Catalog Master'!S311&lt;&gt;"","Y","N")</f>
        <v/>
      </c>
      <c r="G311">
        <f>IF('Catalog Master'!X311&lt;&gt;"","Y","N")</f>
        <v/>
      </c>
      <c r="H311">
        <f>IF('Catalog Master'!V311&lt;&gt;"","Y","N")</f>
        <v/>
      </c>
      <c r="I311">
        <f>IF(AND('Catalog Master'!Z311&lt;&gt;"",'Catalog Master'!AA311&lt;&gt;"",'Catalog Master'!AB311&lt;&gt;""),"Y","N")</f>
        <v/>
      </c>
      <c r="J311">
        <f>'Catalog Master'!N311</f>
        <v/>
      </c>
      <c r="K311">
        <f>'Catalog Master'!AL311</f>
        <v/>
      </c>
      <c r="L311">
        <f>IF(AND(E311="Y",F311="Y",G311="Y",H311="Y",I311="Y"),"Y","N")</f>
        <v/>
      </c>
    </row>
    <row r="312">
      <c r="A312">
        <f>'Catalog Master'!A312</f>
        <v/>
      </c>
      <c r="B312">
        <f>'Catalog Master'!B312</f>
        <v/>
      </c>
      <c r="C312">
        <f>'Catalog Master'!O312</f>
        <v/>
      </c>
      <c r="D312">
        <f>'Catalog Master'!F312</f>
        <v/>
      </c>
      <c r="E312">
        <f>IF('Catalog Master'!Q312&lt;&gt;"","Y","N")</f>
        <v/>
      </c>
      <c r="F312">
        <f>IF('Catalog Master'!S312&lt;&gt;"","Y","N")</f>
        <v/>
      </c>
      <c r="G312">
        <f>IF('Catalog Master'!X312&lt;&gt;"","Y","N")</f>
        <v/>
      </c>
      <c r="H312">
        <f>IF('Catalog Master'!V312&lt;&gt;"","Y","N")</f>
        <v/>
      </c>
      <c r="I312">
        <f>IF(AND('Catalog Master'!Z312&lt;&gt;"",'Catalog Master'!AA312&lt;&gt;"",'Catalog Master'!AB312&lt;&gt;""),"Y","N")</f>
        <v/>
      </c>
      <c r="J312">
        <f>'Catalog Master'!N312</f>
        <v/>
      </c>
      <c r="K312">
        <f>'Catalog Master'!AL312</f>
        <v/>
      </c>
      <c r="L312">
        <f>IF(AND(E312="Y",F312="Y",G312="Y",H312="Y",I312="Y"),"Y","N")</f>
        <v/>
      </c>
    </row>
    <row r="313">
      <c r="A313">
        <f>'Catalog Master'!A313</f>
        <v/>
      </c>
      <c r="B313">
        <f>'Catalog Master'!B313</f>
        <v/>
      </c>
      <c r="C313">
        <f>'Catalog Master'!O313</f>
        <v/>
      </c>
      <c r="D313">
        <f>'Catalog Master'!F313</f>
        <v/>
      </c>
      <c r="E313">
        <f>IF('Catalog Master'!Q313&lt;&gt;"","Y","N")</f>
        <v/>
      </c>
      <c r="F313">
        <f>IF('Catalog Master'!S313&lt;&gt;"","Y","N")</f>
        <v/>
      </c>
      <c r="G313">
        <f>IF('Catalog Master'!X313&lt;&gt;"","Y","N")</f>
        <v/>
      </c>
      <c r="H313">
        <f>IF('Catalog Master'!V313&lt;&gt;"","Y","N")</f>
        <v/>
      </c>
      <c r="I313">
        <f>IF(AND('Catalog Master'!Z313&lt;&gt;"",'Catalog Master'!AA313&lt;&gt;"",'Catalog Master'!AB313&lt;&gt;""),"Y","N")</f>
        <v/>
      </c>
      <c r="J313">
        <f>'Catalog Master'!N313</f>
        <v/>
      </c>
      <c r="K313">
        <f>'Catalog Master'!AL313</f>
        <v/>
      </c>
      <c r="L313">
        <f>IF(AND(E313="Y",F313="Y",G313="Y",H313="Y",I313="Y"),"Y","N")</f>
        <v/>
      </c>
    </row>
    <row r="314">
      <c r="A314">
        <f>'Catalog Master'!A314</f>
        <v/>
      </c>
      <c r="B314">
        <f>'Catalog Master'!B314</f>
        <v/>
      </c>
      <c r="C314">
        <f>'Catalog Master'!O314</f>
        <v/>
      </c>
      <c r="D314">
        <f>'Catalog Master'!F314</f>
        <v/>
      </c>
      <c r="E314">
        <f>IF('Catalog Master'!Q314&lt;&gt;"","Y","N")</f>
        <v/>
      </c>
      <c r="F314">
        <f>IF('Catalog Master'!S314&lt;&gt;"","Y","N")</f>
        <v/>
      </c>
      <c r="G314">
        <f>IF('Catalog Master'!X314&lt;&gt;"","Y","N")</f>
        <v/>
      </c>
      <c r="H314">
        <f>IF('Catalog Master'!V314&lt;&gt;"","Y","N")</f>
        <v/>
      </c>
      <c r="I314">
        <f>IF(AND('Catalog Master'!Z314&lt;&gt;"",'Catalog Master'!AA314&lt;&gt;"",'Catalog Master'!AB314&lt;&gt;""),"Y","N")</f>
        <v/>
      </c>
      <c r="J314">
        <f>'Catalog Master'!N314</f>
        <v/>
      </c>
      <c r="K314">
        <f>'Catalog Master'!AL314</f>
        <v/>
      </c>
      <c r="L314">
        <f>IF(AND(E314="Y",F314="Y",G314="Y",H314="Y",I314="Y"),"Y","N")</f>
        <v/>
      </c>
    </row>
    <row r="315">
      <c r="A315">
        <f>'Catalog Master'!A315</f>
        <v/>
      </c>
      <c r="B315">
        <f>'Catalog Master'!B315</f>
        <v/>
      </c>
      <c r="C315">
        <f>'Catalog Master'!O315</f>
        <v/>
      </c>
      <c r="D315">
        <f>'Catalog Master'!F315</f>
        <v/>
      </c>
      <c r="E315">
        <f>IF('Catalog Master'!Q315&lt;&gt;"","Y","N")</f>
        <v/>
      </c>
      <c r="F315">
        <f>IF('Catalog Master'!S315&lt;&gt;"","Y","N")</f>
        <v/>
      </c>
      <c r="G315">
        <f>IF('Catalog Master'!X315&lt;&gt;"","Y","N")</f>
        <v/>
      </c>
      <c r="H315">
        <f>IF('Catalog Master'!V315&lt;&gt;"","Y","N")</f>
        <v/>
      </c>
      <c r="I315">
        <f>IF(AND('Catalog Master'!Z315&lt;&gt;"",'Catalog Master'!AA315&lt;&gt;"",'Catalog Master'!AB315&lt;&gt;""),"Y","N")</f>
        <v/>
      </c>
      <c r="J315">
        <f>'Catalog Master'!N315</f>
        <v/>
      </c>
      <c r="K315">
        <f>'Catalog Master'!AL315</f>
        <v/>
      </c>
      <c r="L315">
        <f>IF(AND(E315="Y",F315="Y",G315="Y",H315="Y",I315="Y"),"Y","N")</f>
        <v/>
      </c>
    </row>
    <row r="316">
      <c r="A316">
        <f>'Catalog Master'!A316</f>
        <v/>
      </c>
      <c r="B316">
        <f>'Catalog Master'!B316</f>
        <v/>
      </c>
      <c r="C316">
        <f>'Catalog Master'!O316</f>
        <v/>
      </c>
      <c r="D316">
        <f>'Catalog Master'!F316</f>
        <v/>
      </c>
      <c r="E316">
        <f>IF('Catalog Master'!Q316&lt;&gt;"","Y","N")</f>
        <v/>
      </c>
      <c r="F316">
        <f>IF('Catalog Master'!S316&lt;&gt;"","Y","N")</f>
        <v/>
      </c>
      <c r="G316">
        <f>IF('Catalog Master'!X316&lt;&gt;"","Y","N")</f>
        <v/>
      </c>
      <c r="H316">
        <f>IF('Catalog Master'!V316&lt;&gt;"","Y","N")</f>
        <v/>
      </c>
      <c r="I316">
        <f>IF(AND('Catalog Master'!Z316&lt;&gt;"",'Catalog Master'!AA316&lt;&gt;"",'Catalog Master'!AB316&lt;&gt;""),"Y","N")</f>
        <v/>
      </c>
      <c r="J316">
        <f>'Catalog Master'!N316</f>
        <v/>
      </c>
      <c r="K316">
        <f>'Catalog Master'!AL316</f>
        <v/>
      </c>
      <c r="L316">
        <f>IF(AND(E316="Y",F316="Y",G316="Y",H316="Y",I316="Y"),"Y","N")</f>
        <v/>
      </c>
    </row>
    <row r="317">
      <c r="A317">
        <f>'Catalog Master'!A317</f>
        <v/>
      </c>
      <c r="B317">
        <f>'Catalog Master'!B317</f>
        <v/>
      </c>
      <c r="C317">
        <f>'Catalog Master'!O317</f>
        <v/>
      </c>
      <c r="D317">
        <f>'Catalog Master'!F317</f>
        <v/>
      </c>
      <c r="E317">
        <f>IF('Catalog Master'!Q317&lt;&gt;"","Y","N")</f>
        <v/>
      </c>
      <c r="F317">
        <f>IF('Catalog Master'!S317&lt;&gt;"","Y","N")</f>
        <v/>
      </c>
      <c r="G317">
        <f>IF('Catalog Master'!X317&lt;&gt;"","Y","N")</f>
        <v/>
      </c>
      <c r="H317">
        <f>IF('Catalog Master'!V317&lt;&gt;"","Y","N")</f>
        <v/>
      </c>
      <c r="I317">
        <f>IF(AND('Catalog Master'!Z317&lt;&gt;"",'Catalog Master'!AA317&lt;&gt;"",'Catalog Master'!AB317&lt;&gt;""),"Y","N")</f>
        <v/>
      </c>
      <c r="J317">
        <f>'Catalog Master'!N317</f>
        <v/>
      </c>
      <c r="K317">
        <f>'Catalog Master'!AL317</f>
        <v/>
      </c>
      <c r="L317">
        <f>IF(AND(E317="Y",F317="Y",G317="Y",H317="Y",I317="Y"),"Y","N")</f>
        <v/>
      </c>
    </row>
    <row r="318">
      <c r="A318">
        <f>'Catalog Master'!A318</f>
        <v/>
      </c>
      <c r="B318">
        <f>'Catalog Master'!B318</f>
        <v/>
      </c>
      <c r="C318">
        <f>'Catalog Master'!O318</f>
        <v/>
      </c>
      <c r="D318">
        <f>'Catalog Master'!F318</f>
        <v/>
      </c>
      <c r="E318">
        <f>IF('Catalog Master'!Q318&lt;&gt;"","Y","N")</f>
        <v/>
      </c>
      <c r="F318">
        <f>IF('Catalog Master'!S318&lt;&gt;"","Y","N")</f>
        <v/>
      </c>
      <c r="G318">
        <f>IF('Catalog Master'!X318&lt;&gt;"","Y","N")</f>
        <v/>
      </c>
      <c r="H318">
        <f>IF('Catalog Master'!V318&lt;&gt;"","Y","N")</f>
        <v/>
      </c>
      <c r="I318">
        <f>IF(AND('Catalog Master'!Z318&lt;&gt;"",'Catalog Master'!AA318&lt;&gt;"",'Catalog Master'!AB318&lt;&gt;""),"Y","N")</f>
        <v/>
      </c>
      <c r="J318">
        <f>'Catalog Master'!N318</f>
        <v/>
      </c>
      <c r="K318">
        <f>'Catalog Master'!AL318</f>
        <v/>
      </c>
      <c r="L318">
        <f>IF(AND(E318="Y",F318="Y",G318="Y",H318="Y",I318="Y"),"Y","N")</f>
        <v/>
      </c>
    </row>
    <row r="319">
      <c r="A319">
        <f>'Catalog Master'!A319</f>
        <v/>
      </c>
      <c r="B319">
        <f>'Catalog Master'!B319</f>
        <v/>
      </c>
      <c r="C319">
        <f>'Catalog Master'!O319</f>
        <v/>
      </c>
      <c r="D319">
        <f>'Catalog Master'!F319</f>
        <v/>
      </c>
      <c r="E319">
        <f>IF('Catalog Master'!Q319&lt;&gt;"","Y","N")</f>
        <v/>
      </c>
      <c r="F319">
        <f>IF('Catalog Master'!S319&lt;&gt;"","Y","N")</f>
        <v/>
      </c>
      <c r="G319">
        <f>IF('Catalog Master'!X319&lt;&gt;"","Y","N")</f>
        <v/>
      </c>
      <c r="H319">
        <f>IF('Catalog Master'!V319&lt;&gt;"","Y","N")</f>
        <v/>
      </c>
      <c r="I319">
        <f>IF(AND('Catalog Master'!Z319&lt;&gt;"",'Catalog Master'!AA319&lt;&gt;"",'Catalog Master'!AB319&lt;&gt;""),"Y","N")</f>
        <v/>
      </c>
      <c r="J319">
        <f>'Catalog Master'!N319</f>
        <v/>
      </c>
      <c r="K319">
        <f>'Catalog Master'!AL319</f>
        <v/>
      </c>
      <c r="L319">
        <f>IF(AND(E319="Y",F319="Y",G319="Y",H319="Y",I319="Y"),"Y","N")</f>
        <v/>
      </c>
    </row>
    <row r="320">
      <c r="A320">
        <f>'Catalog Master'!A320</f>
        <v/>
      </c>
      <c r="B320">
        <f>'Catalog Master'!B320</f>
        <v/>
      </c>
      <c r="C320">
        <f>'Catalog Master'!O320</f>
        <v/>
      </c>
      <c r="D320">
        <f>'Catalog Master'!F320</f>
        <v/>
      </c>
      <c r="E320">
        <f>IF('Catalog Master'!Q320&lt;&gt;"","Y","N")</f>
        <v/>
      </c>
      <c r="F320">
        <f>IF('Catalog Master'!S320&lt;&gt;"","Y","N")</f>
        <v/>
      </c>
      <c r="G320">
        <f>IF('Catalog Master'!X320&lt;&gt;"","Y","N")</f>
        <v/>
      </c>
      <c r="H320">
        <f>IF('Catalog Master'!V320&lt;&gt;"","Y","N")</f>
        <v/>
      </c>
      <c r="I320">
        <f>IF(AND('Catalog Master'!Z320&lt;&gt;"",'Catalog Master'!AA320&lt;&gt;"",'Catalog Master'!AB320&lt;&gt;""),"Y","N")</f>
        <v/>
      </c>
      <c r="J320">
        <f>'Catalog Master'!N320</f>
        <v/>
      </c>
      <c r="K320">
        <f>'Catalog Master'!AL320</f>
        <v/>
      </c>
      <c r="L320">
        <f>IF(AND(E320="Y",F320="Y",G320="Y",H320="Y",I320="Y"),"Y","N")</f>
        <v/>
      </c>
    </row>
    <row r="321">
      <c r="A321">
        <f>'Catalog Master'!A321</f>
        <v/>
      </c>
      <c r="B321">
        <f>'Catalog Master'!B321</f>
        <v/>
      </c>
      <c r="C321">
        <f>'Catalog Master'!O321</f>
        <v/>
      </c>
      <c r="D321">
        <f>'Catalog Master'!F321</f>
        <v/>
      </c>
      <c r="E321">
        <f>IF('Catalog Master'!Q321&lt;&gt;"","Y","N")</f>
        <v/>
      </c>
      <c r="F321">
        <f>IF('Catalog Master'!S321&lt;&gt;"","Y","N")</f>
        <v/>
      </c>
      <c r="G321">
        <f>IF('Catalog Master'!X321&lt;&gt;"","Y","N")</f>
        <v/>
      </c>
      <c r="H321">
        <f>IF('Catalog Master'!V321&lt;&gt;"","Y","N")</f>
        <v/>
      </c>
      <c r="I321">
        <f>IF(AND('Catalog Master'!Z321&lt;&gt;"",'Catalog Master'!AA321&lt;&gt;"",'Catalog Master'!AB321&lt;&gt;""),"Y","N")</f>
        <v/>
      </c>
      <c r="J321">
        <f>'Catalog Master'!N321</f>
        <v/>
      </c>
      <c r="K321">
        <f>'Catalog Master'!AL321</f>
        <v/>
      </c>
      <c r="L321">
        <f>IF(AND(E321="Y",F321="Y",G321="Y",H321="Y",I321="Y"),"Y","N")</f>
        <v/>
      </c>
    </row>
    <row r="322">
      <c r="A322">
        <f>'Catalog Master'!A322</f>
        <v/>
      </c>
      <c r="B322">
        <f>'Catalog Master'!B322</f>
        <v/>
      </c>
      <c r="C322">
        <f>'Catalog Master'!O322</f>
        <v/>
      </c>
      <c r="D322">
        <f>'Catalog Master'!F322</f>
        <v/>
      </c>
      <c r="E322">
        <f>IF('Catalog Master'!Q322&lt;&gt;"","Y","N")</f>
        <v/>
      </c>
      <c r="F322">
        <f>IF('Catalog Master'!S322&lt;&gt;"","Y","N")</f>
        <v/>
      </c>
      <c r="G322">
        <f>IF('Catalog Master'!X322&lt;&gt;"","Y","N")</f>
        <v/>
      </c>
      <c r="H322">
        <f>IF('Catalog Master'!V322&lt;&gt;"","Y","N")</f>
        <v/>
      </c>
      <c r="I322">
        <f>IF(AND('Catalog Master'!Z322&lt;&gt;"",'Catalog Master'!AA322&lt;&gt;"",'Catalog Master'!AB322&lt;&gt;""),"Y","N")</f>
        <v/>
      </c>
      <c r="J322">
        <f>'Catalog Master'!N322</f>
        <v/>
      </c>
      <c r="K322">
        <f>'Catalog Master'!AL322</f>
        <v/>
      </c>
      <c r="L322">
        <f>IF(AND(E322="Y",F322="Y",G322="Y",H322="Y",I322="Y"),"Y","N")</f>
        <v/>
      </c>
    </row>
    <row r="323">
      <c r="A323">
        <f>'Catalog Master'!A323</f>
        <v/>
      </c>
      <c r="B323">
        <f>'Catalog Master'!B323</f>
        <v/>
      </c>
      <c r="C323">
        <f>'Catalog Master'!O323</f>
        <v/>
      </c>
      <c r="D323">
        <f>'Catalog Master'!F323</f>
        <v/>
      </c>
      <c r="E323">
        <f>IF('Catalog Master'!Q323&lt;&gt;"","Y","N")</f>
        <v/>
      </c>
      <c r="F323">
        <f>IF('Catalog Master'!S323&lt;&gt;"","Y","N")</f>
        <v/>
      </c>
      <c r="G323">
        <f>IF('Catalog Master'!X323&lt;&gt;"","Y","N")</f>
        <v/>
      </c>
      <c r="H323">
        <f>IF('Catalog Master'!V323&lt;&gt;"","Y","N")</f>
        <v/>
      </c>
      <c r="I323">
        <f>IF(AND('Catalog Master'!Z323&lt;&gt;"",'Catalog Master'!AA323&lt;&gt;"",'Catalog Master'!AB323&lt;&gt;""),"Y","N")</f>
        <v/>
      </c>
      <c r="J323">
        <f>'Catalog Master'!N323</f>
        <v/>
      </c>
      <c r="K323">
        <f>'Catalog Master'!AL323</f>
        <v/>
      </c>
      <c r="L323">
        <f>IF(AND(E323="Y",F323="Y",G323="Y",H323="Y",I323="Y"),"Y","N")</f>
        <v/>
      </c>
    </row>
    <row r="324">
      <c r="A324">
        <f>'Catalog Master'!A324</f>
        <v/>
      </c>
      <c r="B324">
        <f>'Catalog Master'!B324</f>
        <v/>
      </c>
      <c r="C324">
        <f>'Catalog Master'!O324</f>
        <v/>
      </c>
      <c r="D324">
        <f>'Catalog Master'!F324</f>
        <v/>
      </c>
      <c r="E324">
        <f>IF('Catalog Master'!Q324&lt;&gt;"","Y","N")</f>
        <v/>
      </c>
      <c r="F324">
        <f>IF('Catalog Master'!S324&lt;&gt;"","Y","N")</f>
        <v/>
      </c>
      <c r="G324">
        <f>IF('Catalog Master'!X324&lt;&gt;"","Y","N")</f>
        <v/>
      </c>
      <c r="H324">
        <f>IF('Catalog Master'!V324&lt;&gt;"","Y","N")</f>
        <v/>
      </c>
      <c r="I324">
        <f>IF(AND('Catalog Master'!Z324&lt;&gt;"",'Catalog Master'!AA324&lt;&gt;"",'Catalog Master'!AB324&lt;&gt;""),"Y","N")</f>
        <v/>
      </c>
      <c r="J324">
        <f>'Catalog Master'!N324</f>
        <v/>
      </c>
      <c r="K324">
        <f>'Catalog Master'!AL324</f>
        <v/>
      </c>
      <c r="L324">
        <f>IF(AND(E324="Y",F324="Y",G324="Y",H324="Y",I324="Y"),"Y","N")</f>
        <v/>
      </c>
    </row>
    <row r="325">
      <c r="A325">
        <f>'Catalog Master'!A325</f>
        <v/>
      </c>
      <c r="B325">
        <f>'Catalog Master'!B325</f>
        <v/>
      </c>
      <c r="C325">
        <f>'Catalog Master'!O325</f>
        <v/>
      </c>
      <c r="D325">
        <f>'Catalog Master'!F325</f>
        <v/>
      </c>
      <c r="E325">
        <f>IF('Catalog Master'!Q325&lt;&gt;"","Y","N")</f>
        <v/>
      </c>
      <c r="F325">
        <f>IF('Catalog Master'!S325&lt;&gt;"","Y","N")</f>
        <v/>
      </c>
      <c r="G325">
        <f>IF('Catalog Master'!X325&lt;&gt;"","Y","N")</f>
        <v/>
      </c>
      <c r="H325">
        <f>IF('Catalog Master'!V325&lt;&gt;"","Y","N")</f>
        <v/>
      </c>
      <c r="I325">
        <f>IF(AND('Catalog Master'!Z325&lt;&gt;"",'Catalog Master'!AA325&lt;&gt;"",'Catalog Master'!AB325&lt;&gt;""),"Y","N")</f>
        <v/>
      </c>
      <c r="J325">
        <f>'Catalog Master'!N325</f>
        <v/>
      </c>
      <c r="K325">
        <f>'Catalog Master'!AL325</f>
        <v/>
      </c>
      <c r="L325">
        <f>IF(AND(E325="Y",F325="Y",G325="Y",H325="Y",I325="Y"),"Y","N")</f>
        <v/>
      </c>
    </row>
    <row r="326">
      <c r="A326">
        <f>'Catalog Master'!A326</f>
        <v/>
      </c>
      <c r="B326">
        <f>'Catalog Master'!B326</f>
        <v/>
      </c>
      <c r="C326">
        <f>'Catalog Master'!O326</f>
        <v/>
      </c>
      <c r="D326">
        <f>'Catalog Master'!F326</f>
        <v/>
      </c>
      <c r="E326">
        <f>IF('Catalog Master'!Q326&lt;&gt;"","Y","N")</f>
        <v/>
      </c>
      <c r="F326">
        <f>IF('Catalog Master'!S326&lt;&gt;"","Y","N")</f>
        <v/>
      </c>
      <c r="G326">
        <f>IF('Catalog Master'!X326&lt;&gt;"","Y","N")</f>
        <v/>
      </c>
      <c r="H326">
        <f>IF('Catalog Master'!V326&lt;&gt;"","Y","N")</f>
        <v/>
      </c>
      <c r="I326">
        <f>IF(AND('Catalog Master'!Z326&lt;&gt;"",'Catalog Master'!AA326&lt;&gt;"",'Catalog Master'!AB326&lt;&gt;""),"Y","N")</f>
        <v/>
      </c>
      <c r="J326">
        <f>'Catalog Master'!N326</f>
        <v/>
      </c>
      <c r="K326">
        <f>'Catalog Master'!AL326</f>
        <v/>
      </c>
      <c r="L326">
        <f>IF(AND(E326="Y",F326="Y",G326="Y",H326="Y",I326="Y"),"Y","N")</f>
        <v/>
      </c>
    </row>
    <row r="327">
      <c r="A327">
        <f>'Catalog Master'!A327</f>
        <v/>
      </c>
      <c r="B327">
        <f>'Catalog Master'!B327</f>
        <v/>
      </c>
      <c r="C327">
        <f>'Catalog Master'!O327</f>
        <v/>
      </c>
      <c r="D327">
        <f>'Catalog Master'!F327</f>
        <v/>
      </c>
      <c r="E327">
        <f>IF('Catalog Master'!Q327&lt;&gt;"","Y","N")</f>
        <v/>
      </c>
      <c r="F327">
        <f>IF('Catalog Master'!S327&lt;&gt;"","Y","N")</f>
        <v/>
      </c>
      <c r="G327">
        <f>IF('Catalog Master'!X327&lt;&gt;"","Y","N")</f>
        <v/>
      </c>
      <c r="H327">
        <f>IF('Catalog Master'!V327&lt;&gt;"","Y","N")</f>
        <v/>
      </c>
      <c r="I327">
        <f>IF(AND('Catalog Master'!Z327&lt;&gt;"",'Catalog Master'!AA327&lt;&gt;"",'Catalog Master'!AB327&lt;&gt;""),"Y","N")</f>
        <v/>
      </c>
      <c r="J327">
        <f>'Catalog Master'!N327</f>
        <v/>
      </c>
      <c r="K327">
        <f>'Catalog Master'!AL327</f>
        <v/>
      </c>
      <c r="L327">
        <f>IF(AND(E327="Y",F327="Y",G327="Y",H327="Y",I327="Y"),"Y","N")</f>
        <v/>
      </c>
    </row>
    <row r="328">
      <c r="A328">
        <f>'Catalog Master'!A328</f>
        <v/>
      </c>
      <c r="B328">
        <f>'Catalog Master'!B328</f>
        <v/>
      </c>
      <c r="C328">
        <f>'Catalog Master'!O328</f>
        <v/>
      </c>
      <c r="D328">
        <f>'Catalog Master'!F328</f>
        <v/>
      </c>
      <c r="E328">
        <f>IF('Catalog Master'!Q328&lt;&gt;"","Y","N")</f>
        <v/>
      </c>
      <c r="F328">
        <f>IF('Catalog Master'!S328&lt;&gt;"","Y","N")</f>
        <v/>
      </c>
      <c r="G328">
        <f>IF('Catalog Master'!X328&lt;&gt;"","Y","N")</f>
        <v/>
      </c>
      <c r="H328">
        <f>IF('Catalog Master'!V328&lt;&gt;"","Y","N")</f>
        <v/>
      </c>
      <c r="I328">
        <f>IF(AND('Catalog Master'!Z328&lt;&gt;"",'Catalog Master'!AA328&lt;&gt;"",'Catalog Master'!AB328&lt;&gt;""),"Y","N")</f>
        <v/>
      </c>
      <c r="J328">
        <f>'Catalog Master'!N328</f>
        <v/>
      </c>
      <c r="K328">
        <f>'Catalog Master'!AL328</f>
        <v/>
      </c>
      <c r="L328">
        <f>IF(AND(E328="Y",F328="Y",G328="Y",H328="Y",I328="Y"),"Y","N")</f>
        <v/>
      </c>
    </row>
    <row r="329">
      <c r="A329">
        <f>'Catalog Master'!A329</f>
        <v/>
      </c>
      <c r="B329">
        <f>'Catalog Master'!B329</f>
        <v/>
      </c>
      <c r="C329">
        <f>'Catalog Master'!O329</f>
        <v/>
      </c>
      <c r="D329">
        <f>'Catalog Master'!F329</f>
        <v/>
      </c>
      <c r="E329">
        <f>IF('Catalog Master'!Q329&lt;&gt;"","Y","N")</f>
        <v/>
      </c>
      <c r="F329">
        <f>IF('Catalog Master'!S329&lt;&gt;"","Y","N")</f>
        <v/>
      </c>
      <c r="G329">
        <f>IF('Catalog Master'!X329&lt;&gt;"","Y","N")</f>
        <v/>
      </c>
      <c r="H329">
        <f>IF('Catalog Master'!V329&lt;&gt;"","Y","N")</f>
        <v/>
      </c>
      <c r="I329">
        <f>IF(AND('Catalog Master'!Z329&lt;&gt;"",'Catalog Master'!AA329&lt;&gt;"",'Catalog Master'!AB329&lt;&gt;""),"Y","N")</f>
        <v/>
      </c>
      <c r="J329">
        <f>'Catalog Master'!N329</f>
        <v/>
      </c>
      <c r="K329">
        <f>'Catalog Master'!AL329</f>
        <v/>
      </c>
      <c r="L329">
        <f>IF(AND(E329="Y",F329="Y",G329="Y",H329="Y",I329="Y"),"Y","N")</f>
        <v/>
      </c>
    </row>
    <row r="330">
      <c r="A330">
        <f>'Catalog Master'!A330</f>
        <v/>
      </c>
      <c r="B330">
        <f>'Catalog Master'!B330</f>
        <v/>
      </c>
      <c r="C330">
        <f>'Catalog Master'!O330</f>
        <v/>
      </c>
      <c r="D330">
        <f>'Catalog Master'!F330</f>
        <v/>
      </c>
      <c r="E330">
        <f>IF('Catalog Master'!Q330&lt;&gt;"","Y","N")</f>
        <v/>
      </c>
      <c r="F330">
        <f>IF('Catalog Master'!S330&lt;&gt;"","Y","N")</f>
        <v/>
      </c>
      <c r="G330">
        <f>IF('Catalog Master'!X330&lt;&gt;"","Y","N")</f>
        <v/>
      </c>
      <c r="H330">
        <f>IF('Catalog Master'!V330&lt;&gt;"","Y","N")</f>
        <v/>
      </c>
      <c r="I330">
        <f>IF(AND('Catalog Master'!Z330&lt;&gt;"",'Catalog Master'!AA330&lt;&gt;"",'Catalog Master'!AB330&lt;&gt;""),"Y","N")</f>
        <v/>
      </c>
      <c r="J330">
        <f>'Catalog Master'!N330</f>
        <v/>
      </c>
      <c r="K330">
        <f>'Catalog Master'!AL330</f>
        <v/>
      </c>
      <c r="L330">
        <f>IF(AND(E330="Y",F330="Y",G330="Y",H330="Y",I330="Y"),"Y","N")</f>
        <v/>
      </c>
    </row>
    <row r="331">
      <c r="A331">
        <f>'Catalog Master'!A331</f>
        <v/>
      </c>
      <c r="B331">
        <f>'Catalog Master'!B331</f>
        <v/>
      </c>
      <c r="C331">
        <f>'Catalog Master'!O331</f>
        <v/>
      </c>
      <c r="D331">
        <f>'Catalog Master'!F331</f>
        <v/>
      </c>
      <c r="E331">
        <f>IF('Catalog Master'!Q331&lt;&gt;"","Y","N")</f>
        <v/>
      </c>
      <c r="F331">
        <f>IF('Catalog Master'!S331&lt;&gt;"","Y","N")</f>
        <v/>
      </c>
      <c r="G331">
        <f>IF('Catalog Master'!X331&lt;&gt;"","Y","N")</f>
        <v/>
      </c>
      <c r="H331">
        <f>IF('Catalog Master'!V331&lt;&gt;"","Y","N")</f>
        <v/>
      </c>
      <c r="I331">
        <f>IF(AND('Catalog Master'!Z331&lt;&gt;"",'Catalog Master'!AA331&lt;&gt;"",'Catalog Master'!AB331&lt;&gt;""),"Y","N")</f>
        <v/>
      </c>
      <c r="J331">
        <f>'Catalog Master'!N331</f>
        <v/>
      </c>
      <c r="K331">
        <f>'Catalog Master'!AL331</f>
        <v/>
      </c>
      <c r="L331">
        <f>IF(AND(E331="Y",F331="Y",G331="Y",H331="Y",I331="Y"),"Y","N")</f>
        <v/>
      </c>
    </row>
    <row r="332">
      <c r="A332">
        <f>'Catalog Master'!A332</f>
        <v/>
      </c>
      <c r="B332">
        <f>'Catalog Master'!B332</f>
        <v/>
      </c>
      <c r="C332">
        <f>'Catalog Master'!O332</f>
        <v/>
      </c>
      <c r="D332">
        <f>'Catalog Master'!F332</f>
        <v/>
      </c>
      <c r="E332">
        <f>IF('Catalog Master'!Q332&lt;&gt;"","Y","N")</f>
        <v/>
      </c>
      <c r="F332">
        <f>IF('Catalog Master'!S332&lt;&gt;"","Y","N")</f>
        <v/>
      </c>
      <c r="G332">
        <f>IF('Catalog Master'!X332&lt;&gt;"","Y","N")</f>
        <v/>
      </c>
      <c r="H332">
        <f>IF('Catalog Master'!V332&lt;&gt;"","Y","N")</f>
        <v/>
      </c>
      <c r="I332">
        <f>IF(AND('Catalog Master'!Z332&lt;&gt;"",'Catalog Master'!AA332&lt;&gt;"",'Catalog Master'!AB332&lt;&gt;""),"Y","N")</f>
        <v/>
      </c>
      <c r="J332">
        <f>'Catalog Master'!N332</f>
        <v/>
      </c>
      <c r="K332">
        <f>'Catalog Master'!AL332</f>
        <v/>
      </c>
      <c r="L332">
        <f>IF(AND(E332="Y",F332="Y",G332="Y",H332="Y",I332="Y"),"Y","N")</f>
        <v/>
      </c>
    </row>
    <row r="333">
      <c r="A333">
        <f>'Catalog Master'!A333</f>
        <v/>
      </c>
      <c r="B333">
        <f>'Catalog Master'!B333</f>
        <v/>
      </c>
      <c r="C333">
        <f>'Catalog Master'!O333</f>
        <v/>
      </c>
      <c r="D333">
        <f>'Catalog Master'!F333</f>
        <v/>
      </c>
      <c r="E333">
        <f>IF('Catalog Master'!Q333&lt;&gt;"","Y","N")</f>
        <v/>
      </c>
      <c r="F333">
        <f>IF('Catalog Master'!S333&lt;&gt;"","Y","N")</f>
        <v/>
      </c>
      <c r="G333">
        <f>IF('Catalog Master'!X333&lt;&gt;"","Y","N")</f>
        <v/>
      </c>
      <c r="H333">
        <f>IF('Catalog Master'!V333&lt;&gt;"","Y","N")</f>
        <v/>
      </c>
      <c r="I333">
        <f>IF(AND('Catalog Master'!Z333&lt;&gt;"",'Catalog Master'!AA333&lt;&gt;"",'Catalog Master'!AB333&lt;&gt;""),"Y","N")</f>
        <v/>
      </c>
      <c r="J333">
        <f>'Catalog Master'!N333</f>
        <v/>
      </c>
      <c r="K333">
        <f>'Catalog Master'!AL333</f>
        <v/>
      </c>
      <c r="L333">
        <f>IF(AND(E333="Y",F333="Y",G333="Y",H333="Y",I333="Y"),"Y","N")</f>
        <v/>
      </c>
    </row>
    <row r="334">
      <c r="A334">
        <f>'Catalog Master'!A334</f>
        <v/>
      </c>
      <c r="B334">
        <f>'Catalog Master'!B334</f>
        <v/>
      </c>
      <c r="C334">
        <f>'Catalog Master'!O334</f>
        <v/>
      </c>
      <c r="D334">
        <f>'Catalog Master'!F334</f>
        <v/>
      </c>
      <c r="E334">
        <f>IF('Catalog Master'!Q334&lt;&gt;"","Y","N")</f>
        <v/>
      </c>
      <c r="F334">
        <f>IF('Catalog Master'!S334&lt;&gt;"","Y","N")</f>
        <v/>
      </c>
      <c r="G334">
        <f>IF('Catalog Master'!X334&lt;&gt;"","Y","N")</f>
        <v/>
      </c>
      <c r="H334">
        <f>IF('Catalog Master'!V334&lt;&gt;"","Y","N")</f>
        <v/>
      </c>
      <c r="I334">
        <f>IF(AND('Catalog Master'!Z334&lt;&gt;"",'Catalog Master'!AA334&lt;&gt;"",'Catalog Master'!AB334&lt;&gt;""),"Y","N")</f>
        <v/>
      </c>
      <c r="J334">
        <f>'Catalog Master'!N334</f>
        <v/>
      </c>
      <c r="K334">
        <f>'Catalog Master'!AL334</f>
        <v/>
      </c>
      <c r="L334">
        <f>IF(AND(E334="Y",F334="Y",G334="Y",H334="Y",I334="Y"),"Y","N")</f>
        <v/>
      </c>
    </row>
  </sheetData>
  <autoFilter ref="A1:L3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6" t="inlineStr">
        <is>
          <t>Still Point Lapidary — Production Master Workbook README</t>
        </is>
      </c>
    </row>
    <row r="3">
      <c r="A3" s="7" t="inlineStr">
        <is>
          <t>1. Purpose</t>
        </is>
      </c>
    </row>
    <row r="4">
      <c r="A4" s="3" t="inlineStr">
        <is>
          <t>Canonical production source of structured, operational data for all 333 Still Point Lapidary encyclopedia stones.</t>
        </is>
      </c>
    </row>
    <row r="5">
      <c r="A5" s="3" t="inlineStr">
        <is>
          <t>This workbook is the operational spine for catalog identity, tiering, cohorts, navigation, chakra/energetic</t>
        </is>
      </c>
    </row>
    <row r="6">
      <c r="A6" s="3" t="inlineStr">
        <is>
          <t>structured associations, hero foundation fields, image status, and production/publication status.</t>
        </is>
      </c>
    </row>
    <row r="8">
      <c r="A8" s="7" t="inlineStr">
        <is>
          <t>2. Canonical Path</t>
        </is>
      </c>
    </row>
    <row r="9">
      <c r="A9" s="3" t="inlineStr">
        <is>
          <t>docs\encyclopedia\production-data\Still-Point-Lapidary-Production-Master.xlsx</t>
        </is>
      </c>
    </row>
    <row r="10">
      <c r="A10" s="3" t="inlineStr">
        <is>
          <t>Keep this exact filename stable. Do not add dates, version numbers, 'final', 'updated', 'revised', or editor initials.</t>
        </is>
      </c>
    </row>
    <row r="11">
      <c r="A11" s="3" t="inlineStr">
        <is>
          <t>Use dated snapshots under production-data\snapshots\ for milestone checkpoints and pre-change safety copies.</t>
        </is>
      </c>
    </row>
    <row r="13">
      <c r="A13" s="7" t="inlineStr">
        <is>
          <t>3. Source Precedence</t>
        </is>
      </c>
    </row>
    <row r="14">
      <c r="A14" s="3" t="inlineStr">
        <is>
          <t>Identity spine (Stone ID, Canonical Name): this Production Master is the primary source of truth.</t>
        </is>
      </c>
    </row>
    <row r="15">
      <c r="A15" s="3" t="inlineStr">
        <is>
          <t>Slugs and Previous/Next navigation: verified against 'Stones Catalog with Previous - Next Slugs.csv'</t>
        </is>
      </c>
    </row>
    <row r="16">
      <c r="A16" s="3" t="inlineStr">
        <is>
          <t>(data\navigation\) — 100% match confirmed at the 2026-07-03 reconstruction pass.</t>
        </is>
      </c>
    </row>
    <row r="17">
      <c r="A17" s="3" t="inlineStr">
        <is>
          <t>Collection Tier: this Production Master's tier column is authoritative. The archival</t>
        </is>
      </c>
    </row>
    <row r="18">
      <c r="A18" s="3" t="inlineStr">
        <is>
          <t>'final-tier-roster-06.19.2026.csv' (docs\encyclopedia\archive\) reflects a known-incorrect 123/132</t>
        </is>
      </c>
    </row>
    <row r="19">
      <c r="A19" s="3" t="inlineStr">
        <is>
          <t>Tier 2/Tier 3 split and is retained for comparison only — its tier column must never overwrite this workbook.</t>
        </is>
      </c>
    </row>
    <row r="20">
      <c r="A20" s="3" t="inlineStr">
        <is>
          <t>Cohorts, chakras, Energetic Role, Material Type, and all other structured editorial values: this</t>
        </is>
      </c>
    </row>
    <row r="21">
      <c r="A21" s="3" t="inlineStr">
        <is>
          <t>Production Master is authoritative. Do not derive these from any CSV or from chat history.</t>
        </is>
      </c>
    </row>
    <row r="22">
      <c r="A22" s="3" t="inlineStr">
        <is>
          <t>Standards and controlled-value definitions: Documents\Still Point Lapidary\Project Rules\ (outside this repo).</t>
        </is>
      </c>
    </row>
    <row r="23">
      <c r="A23" s="3" t="inlineStr">
        <is>
          <t>See CLAUDE.md §2 for the full authority table.</t>
        </is>
      </c>
    </row>
    <row r="25">
      <c r="A25" s="7" t="inlineStr">
        <is>
          <t>4. Sheet Purposes</t>
        </is>
      </c>
    </row>
    <row r="26">
      <c r="A26" s="3" t="inlineStr">
        <is>
          <t>Catalog Master — one row per stone (333 rows), the 46-column approved v0.3 schema, grouped Group A-K.</t>
        </is>
      </c>
    </row>
    <row r="27">
      <c r="A27" s="3" t="inlineStr">
        <is>
          <t>Foundation Live Checklist — live formulas (not duplicated prose) flagging whether each stone has enough</t>
        </is>
      </c>
    </row>
    <row r="28">
      <c r="A28" s="3" t="inlineStr">
        <is>
          <t>structured data for its foundation state: chakra, material type, energetic role, hero fields, navigation.</t>
        </is>
      </c>
    </row>
    <row r="29">
      <c r="A29" s="3" t="inlineStr">
        <is>
          <t>Controlled Vocabularies — dropdown source lists backing the Catalog Master's data-validation columns.</t>
        </is>
      </c>
    </row>
    <row r="30">
      <c r="A30" s="3" t="inlineStr">
        <is>
          <t>README — this sheet.</t>
        </is>
      </c>
    </row>
    <row r="31">
      <c r="A31" s="3" t="inlineStr">
        <is>
          <t>Provenance and QA — 2026-07-03 reconstruction log: sources applied, corrections already reflected,</t>
        </is>
      </c>
    </row>
    <row r="32">
      <c r="A32" s="3" t="inlineStr">
        <is>
          <t>intentional blanks, open conflicts, and rows flagged for editorial review.</t>
        </is>
      </c>
    </row>
    <row r="34">
      <c r="A34" s="7" t="inlineStr">
        <is>
          <t>5. Field-Group Meanings (Catalog Master)</t>
        </is>
      </c>
    </row>
    <row r="35">
      <c r="A35" s="3" t="inlineStr">
        <is>
          <t>Group A - Roster Identity: Stone ID, Canonical Name, Alternate Names, Family, Species.</t>
        </is>
      </c>
    </row>
    <row r="36">
      <c r="A36" s="3" t="inlineStr">
        <is>
          <t>Group B - Catalog Structure: Collection Tier, Cohort, Catalog Display Order, Navigation Display Order.</t>
        </is>
      </c>
    </row>
    <row r="37">
      <c r="A37" s="3" t="inlineStr">
        <is>
          <t>Group C - Navigation: Previous/Next Stone and Slug, Navigation Verified.</t>
        </is>
      </c>
    </row>
    <row r="38">
      <c r="A38" s="3" t="inlineStr">
        <is>
          <t>Group D - Slug &amp; URL: Slug.</t>
        </is>
      </c>
    </row>
    <row r="39">
      <c r="A39" s="3" t="inlineStr">
        <is>
          <t>Group E - Production Status: Encyclopedia Production Status.</t>
        </is>
      </c>
    </row>
    <row r="40">
      <c r="A40" s="3" t="inlineStr">
        <is>
          <t>Group F - At a Glance: Primary/Secondary/Styling Chakra, Element, Zodiac, Encyclopedia Energetic Role,</t>
        </is>
      </c>
    </row>
    <row r="41">
      <c r="A41" s="3" t="inlineStr">
        <is>
          <t>Energetic Role Icon, Material Type, Color Energy.</t>
        </is>
      </c>
    </row>
    <row r="42">
      <c r="A42" s="3" t="inlineStr">
        <is>
          <t>Group G - Hero Fields: Best For, Use When, Affirmation.</t>
        </is>
      </c>
    </row>
    <row r="43">
      <c r="A43" s="3" t="inlineStr">
        <is>
          <t>Group H - Legacy Roles: Energetic Role 1/2/3 (retained historical columns; not equivalent to the single</t>
        </is>
      </c>
    </row>
    <row r="44">
      <c r="A44" s="3" t="inlineStr">
        <is>
          <t>approved Encyclopedia Energetic Role in Group F and must not be treated as such).</t>
        </is>
      </c>
    </row>
    <row r="45">
      <c r="A45" s="3" t="inlineStr">
        <is>
          <t>Group I - Card &amp; Image: Card Properties, Image URL, Image Filename, Image Status.</t>
        </is>
      </c>
    </row>
    <row r="46">
      <c r="A46" s="3" t="inlineStr">
        <is>
          <t>Group J - Identity Flags: Exception/Identity Flag, Exception Review Required, Structured Data Status.</t>
        </is>
      </c>
    </row>
    <row r="47">
      <c r="A47" s="3" t="inlineStr">
        <is>
          <t>Group K - Workflow: Research Status, Canonical MD Status, Supabase Status, Visual QA Status,</t>
        </is>
      </c>
    </row>
    <row r="48">
      <c r="A48" s="3" t="inlineStr">
        <is>
          <t>Editorial Owner, Production Data Version, Blocker, Notes.</t>
        </is>
      </c>
    </row>
    <row r="50">
      <c r="A50" s="7" t="inlineStr">
        <is>
          <t>6. Controlled-Value Rules</t>
        </is>
      </c>
    </row>
    <row r="51">
      <c r="A51" s="3" t="inlineStr">
        <is>
          <t>Material Type and Encyclopedia Energetic Role are closed, fixed lists per CLAUDE.md and</t>
        </is>
      </c>
    </row>
    <row r="52">
      <c r="A52" s="3" t="inlineStr">
        <is>
          <t>ENCYCLOPEDIA-CATALOG-DECISIONS.md and must not be extended without Christie or Dustin approval.</t>
        </is>
      </c>
    </row>
    <row r="53">
      <c r="A53" s="3" t="inlineStr">
        <is>
          <t>Chakra, Element, Zodiac, and status/owner/exception-type lists in Controlled Vocabularies reflect</t>
        </is>
      </c>
    </row>
    <row r="54">
      <c r="A54" s="3" t="inlineStr">
        <is>
          <t>currently-observed approved values as of this reconstruction. Add new approved values to Controlled</t>
        </is>
      </c>
    </row>
    <row r="55">
      <c r="A55" s="3" t="inlineStr">
        <is>
          <t>Vocabularies (not by free-typing into Catalog Master) as production advances and Christie or Dustin approves.</t>
        </is>
      </c>
    </row>
    <row r="56">
      <c r="A56" s="3" t="inlineStr">
        <is>
          <t>Planet is not a required or stored field. Do not add it as a completion requirement.</t>
        </is>
      </c>
    </row>
    <row r="57">
      <c r="A57" s="3" t="inlineStr">
        <is>
          <t>The Clear Quartz carve-out is preserved: Primary Chakra = 'All Chakras', Styling Chakra = 'Crown',</t>
        </is>
      </c>
    </row>
    <row r="58">
      <c r="A58" s="3" t="inlineStr">
        <is>
          <t>no fabricated Secondary Chakra.</t>
        </is>
      </c>
    </row>
    <row r="60">
      <c r="A60" s="7" t="inlineStr">
        <is>
          <t>7. Reconstruction Record</t>
        </is>
      </c>
    </row>
    <row r="61">
      <c r="A61" s="3" t="inlineStr">
        <is>
          <t>Reconstruction date: 2026-07-03.</t>
        </is>
      </c>
    </row>
    <row r="62">
      <c r="A62" s="3" t="inlineStr">
        <is>
          <t>Phase 3 controlled workbook restoration: the live Catalog Master data was confirmed as the verified</t>
        </is>
      </c>
    </row>
    <row r="63">
      <c r="A63" s="3" t="inlineStr">
        <is>
          <t>reconstruction baseline (passing full identity/tier/vocabulary validation) per Christie's explicit</t>
        </is>
      </c>
    </row>
    <row r="64">
      <c r="A64" s="3" t="inlineStr">
        <is>
          <t>direction during this session, since the previously-referenced Phase 1/2 reports and Production Master</t>
        </is>
      </c>
    </row>
    <row r="65">
      <c r="A65" s="3" t="inlineStr">
        <is>
          <t>comparison addendum were prior-session conclusions never saved as separate files. See the</t>
        </is>
      </c>
    </row>
    <row r="66">
      <c r="A66" s="3" t="inlineStr">
        <is>
          <t>Provenance and QA sheet for the full reconstruction log.</t>
        </is>
      </c>
    </row>
    <row r="68">
      <c r="A68" s="7" t="inlineStr">
        <is>
          <t>8. Change Control</t>
        </is>
      </c>
    </row>
    <row r="69">
      <c r="A69" s="3" t="inlineStr">
        <is>
          <t>Structured values in Catalog Master are changed only after Christie or Dustin approval.</t>
        </is>
      </c>
    </row>
    <row r="70">
      <c r="A70" s="3" t="inlineStr">
        <is>
          <t>Claude Code may apply approved workbook changes (including this structural restoration) but may not</t>
        </is>
      </c>
    </row>
    <row r="71">
      <c r="A71" s="3" t="inlineStr">
        <is>
          <t>independently choose or invent editorial content, catalog values, tiers, cohorts, or architecture.</t>
        </is>
      </c>
    </row>
    <row r="72">
      <c r="A72" s="3" t="inlineStr">
        <is>
          <t>After any approved change: save the workbook, reopen, reread the changed row, and confirm the saved value.</t>
        </is>
      </c>
    </row>
  </sheetData>
  <mergeCells count="55">
    <mergeCell ref="A48:B48"/>
    <mergeCell ref="A30:B30"/>
    <mergeCell ref="A15:B15"/>
    <mergeCell ref="A64:B64"/>
    <mergeCell ref="A11:B11"/>
    <mergeCell ref="A51:B51"/>
    <mergeCell ref="A45:B45"/>
    <mergeCell ref="A36:B36"/>
    <mergeCell ref="A70:B70"/>
    <mergeCell ref="A61:B61"/>
    <mergeCell ref="A6:B6"/>
    <mergeCell ref="A69:B69"/>
    <mergeCell ref="A16:B16"/>
    <mergeCell ref="A54:B54"/>
    <mergeCell ref="A65:B65"/>
    <mergeCell ref="A41:B41"/>
    <mergeCell ref="A37:B37"/>
    <mergeCell ref="A46:B46"/>
    <mergeCell ref="A66:B66"/>
    <mergeCell ref="A18:B18"/>
    <mergeCell ref="A27:B27"/>
    <mergeCell ref="A56:B56"/>
    <mergeCell ref="A55:B55"/>
    <mergeCell ref="A26:B26"/>
    <mergeCell ref="A21:B21"/>
    <mergeCell ref="A57:B57"/>
    <mergeCell ref="A71:B71"/>
    <mergeCell ref="A47:B47"/>
    <mergeCell ref="A5:B5"/>
    <mergeCell ref="A42:B42"/>
    <mergeCell ref="A32:B32"/>
    <mergeCell ref="A14:B14"/>
    <mergeCell ref="A23:B23"/>
    <mergeCell ref="A17:B17"/>
    <mergeCell ref="A22:B22"/>
    <mergeCell ref="A53:B53"/>
    <mergeCell ref="A35:B35"/>
    <mergeCell ref="A4:B4"/>
    <mergeCell ref="A62:B62"/>
    <mergeCell ref="A20:B20"/>
    <mergeCell ref="A38:B38"/>
    <mergeCell ref="A72:B72"/>
    <mergeCell ref="A29:B29"/>
    <mergeCell ref="A52:B52"/>
    <mergeCell ref="A43:B43"/>
    <mergeCell ref="A19:B19"/>
    <mergeCell ref="A63:B63"/>
    <mergeCell ref="A10:B10"/>
    <mergeCell ref="A28:B28"/>
    <mergeCell ref="A44:B44"/>
    <mergeCell ref="A40:B40"/>
    <mergeCell ref="A9:B9"/>
    <mergeCell ref="A31:B31"/>
    <mergeCell ref="A58:B58"/>
    <mergeCell ref="A39:B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6" t="inlineStr">
        <is>
          <t>Phase 3 Reconstruction Log</t>
        </is>
      </c>
    </row>
    <row r="2">
      <c r="A2" s="3" t="inlineStr">
        <is>
          <t>Reconstruction date: 2026-07-03</t>
        </is>
      </c>
    </row>
    <row r="3">
      <c r="A3" s="3" t="inlineStr">
        <is>
          <t>Authorized by: Christie (Phase 3 brief, session of 2026-07-03).</t>
        </is>
      </c>
    </row>
    <row r="5">
      <c r="A5" s="7" t="inlineStr">
        <is>
          <t>1. Field-Family Source Precedence Applied</t>
        </is>
      </c>
    </row>
    <row r="6">
      <c r="A6" s="3" t="inlineStr">
        <is>
          <t>Identity spine (Stone ID, Canonical Name, Alternate Names, Family, Species): live Catalog Master (Sheet1 as found), unchanged.</t>
        </is>
      </c>
    </row>
    <row r="7">
      <c r="A7" s="3" t="inlineStr">
        <is>
          <t>Collection Tier, Cohort: live Catalog Master values, unchanged. Tier totals confirmed 30/132/123/48 = 333.</t>
        </is>
      </c>
    </row>
    <row r="8">
      <c r="A8" s="3" t="inlineStr">
        <is>
          <t>Slug, Previous/Next Stone and Slug: live Catalog Master values, cross-verified against</t>
        </is>
      </c>
    </row>
    <row r="9">
      <c r="A9" s="3" t="inlineStr">
        <is>
          <t>'Stones Catalog with Previous - Next Slugs.csv' (data\navigation\) — 333/333 exact match on slug, name,</t>
        </is>
      </c>
    </row>
    <row r="10">
      <c r="A10" s="3" t="inlineStr">
        <is>
          <t>previous slug, and next slug. Zero mismatches. Chain has exactly one start (Adamite, no Previous) and one</t>
        </is>
      </c>
    </row>
    <row r="11">
      <c r="A11" s="3" t="inlineStr">
        <is>
          <t>end (Zircon, no Next); no self-references; no broken pointers.</t>
        </is>
      </c>
    </row>
    <row r="12">
      <c r="A12" s="3" t="inlineStr">
        <is>
          <t>Material Type, Encyclopedia Energetic Role, Chakras, Element, Zodiac, Hero fields, workflow statuses:</t>
        </is>
      </c>
    </row>
    <row r="13">
      <c r="A13" s="3" t="inlineStr">
        <is>
          <t>live Catalog Master values, unchanged. All values validated against approved controlled vocabularies.</t>
        </is>
      </c>
    </row>
    <row r="15">
      <c r="A15" s="7" t="inlineStr">
        <is>
          <t>2. Correction Already Reflected (per Christie's direction, not reapplied this session)</t>
        </is>
      </c>
    </row>
    <row r="16">
      <c r="A16" s="3" t="inlineStr">
        <is>
          <t>The archival 'final-tier-roster-06.19.2026.csv' (docs\encyclopedia\archive\) shows the known-incorrect</t>
        </is>
      </c>
    </row>
    <row r="17">
      <c r="A17" s="3" t="inlineStr">
        <is>
          <t>123/132 Tier 2/Tier 3 split. Comparing it against the live Catalog Master's tier column found exactly</t>
        </is>
      </c>
    </row>
    <row r="18">
      <c r="A18" s="3" t="inlineStr">
        <is>
          <t>33 differing rows — matching the '33 previously verified Tier 2/Tier 3 corrections' referenced in the</t>
        </is>
      </c>
    </row>
    <row r="19">
      <c r="A19" s="3" t="inlineStr">
        <is>
          <t>brief. This confirms the corrections are already baked into the live workbook. The archival CSV's tier</t>
        </is>
      </c>
    </row>
    <row r="20">
      <c r="A20" s="3" t="inlineStr">
        <is>
          <t>column was NOT applied and remains excluded from this workbook as instructed.</t>
        </is>
      </c>
    </row>
    <row r="22">
      <c r="A22" s="7" t="inlineStr">
        <is>
          <t>3. Values Intentionally Left Blank (normal in-progress state, not a defect)</t>
        </is>
      </c>
    </row>
    <row r="23">
      <c r="A23" s="3" t="inlineStr">
        <is>
          <t>Only 24 of 333 stones have entered active production (Encyclopedia Production Status &lt;&gt; 'Not Started').</t>
        </is>
      </c>
    </row>
    <row r="24">
      <c r="A24" s="3" t="inlineStr">
        <is>
          <t>The remaining rows are blank in fields gated behind research/drafting, which is expected at this point</t>
        </is>
      </c>
    </row>
    <row r="25">
      <c r="A25" s="3" t="inlineStr">
        <is>
          <t>in the catalog-wide rollout, not a reconstruction gap:</t>
        </is>
      </c>
    </row>
    <row r="26">
      <c r="A26" s="3" t="inlineStr">
        <is>
          <t>Secondary Chakra blank: 92/333. Element blank: 316/333. Zodiac blank: 323/333.</t>
        </is>
      </c>
    </row>
    <row r="27">
      <c r="A27" s="3" t="inlineStr">
        <is>
          <t>Encyclopedia Energetic Role + Icon blank: 316/333. Color Energy blank: 323/333. Affirmation blank: 323/333.</t>
        </is>
      </c>
    </row>
    <row r="28">
      <c r="A28" s="3" t="inlineStr">
        <is>
          <t>Image URL / Filename / Status blank: 333/333 (image workflow not yet started catalog-wide).</t>
        </is>
      </c>
    </row>
    <row r="29">
      <c r="A29" s="3" t="inlineStr">
        <is>
          <t>Editorial Owner blank: 323/333 (populated only for stones with active editorial assignment).</t>
        </is>
      </c>
    </row>
    <row r="30">
      <c r="A30" s="3" t="inlineStr">
        <is>
          <t>No blank field was populated from weak legacy data or guessed to look complete.</t>
        </is>
      </c>
    </row>
    <row r="32">
      <c r="A32" s="7" t="inlineStr">
        <is>
          <t>4. Conflicts Found</t>
        </is>
      </c>
    </row>
    <row r="33">
      <c r="A33" s="3" t="inlineStr">
        <is>
          <t>One controlled-vocabulary naming mismatch, not auto-corrected: Meteorite (C-0257) carries</t>
        </is>
      </c>
    </row>
    <row r="34">
      <c r="A34" s="3" t="inlineStr">
        <is>
          <t>Exception/Identity Flag = 'Specialist Review', while ENCYCLOPEDIA-CATALOG-DECISIONS.md §7 lists the</t>
        </is>
      </c>
    </row>
    <row r="35">
      <c r="A35" s="3" t="inlineStr">
        <is>
          <t>approved exception-type term as 'Specialist nomenclature review'. Left as-is pending Christie or</t>
        </is>
      </c>
    </row>
    <row r="36">
      <c r="A36" s="3" t="inlineStr">
        <is>
          <t>Dustin or Christie confirmation of which exact term is intended; flagged in section 5 below. STATUS: RESOLVED 2026-07-03 — Christie approved correcting Meteorite's value to the exact approved term 'Specialist nomenclature review'. See section 7.</t>
        </is>
      </c>
    </row>
    <row r="37">
      <c r="A37" s="3" t="inlineStr">
        <is>
          <t>No other contradictions were found between the live Catalog Master, the navigation CSV, and the</t>
        </is>
      </c>
    </row>
    <row r="38">
      <c r="A38" s="3" t="inlineStr">
        <is>
          <t>approved controlled vocabularies documented in CLAUDE.md / ENCYCLOPEDIA-CATALOG-DECISIONS.md.</t>
        </is>
      </c>
    </row>
    <row r="40">
      <c r="A40" s="7" t="inlineStr">
        <is>
          <t>5. Rows Flagged for Later Editorial Review</t>
        </is>
      </c>
    </row>
    <row r="41">
      <c r="A41" s="3" t="inlineStr">
        <is>
          <t>Exception Review Required = TRUE: Phoenix Stone (C-0397), Cinnabrite (C-0251), Que Sera Stone (C-0189),</t>
        </is>
      </c>
    </row>
    <row r="42">
      <c r="A42" s="3" t="inlineStr">
        <is>
          <t>Shaman Stone (C-0199), Boji Stones (C-0184). No Exception/Identity Flag text is populated for these five;</t>
        </is>
      </c>
    </row>
    <row r="43">
      <c r="A43" s="3" t="inlineStr">
        <is>
          <t>consider whether a specific Exception Type from Controlled Vocabularies should be recorded for each. STATUS: RESOLVED 2026-07-03 — Christie approved 'Composite' as the locked pending-review classification for all five. See section 7.</t>
        </is>
      </c>
    </row>
    <row r="44">
      <c r="A44" s="3" t="inlineStr">
        <is>
          <t>Exception Flag populated but Review Required = FALSE: Meteorite (C-0257), flag text 'Specialist Review'</t>
        </is>
      </c>
    </row>
    <row r="45">
      <c r="A45" s="3" t="inlineStr">
        <is>
          <t>- see the naming-mismatch note in section 4. STATUS: RESOLVED 2026-07-03 — see section 7.</t>
        </is>
      </c>
    </row>
    <row r="47">
      <c r="A47" s="7" t="inlineStr">
        <is>
          <t>6. Workbook Structural Changes Made This Pass</t>
        </is>
      </c>
    </row>
    <row r="48">
      <c r="A48" s="3" t="inlineStr">
        <is>
          <t>Renamed 'Sheet1' to 'Catalog Master' (label only; no data values changed).</t>
        </is>
      </c>
    </row>
    <row r="49">
      <c r="A49" s="3" t="inlineStr">
        <is>
          <t>Added sheets: Foundation Live Checklist, Controlled Vocabularies, README, Provenance and QA (this sheet).</t>
        </is>
      </c>
    </row>
    <row r="50">
      <c r="A50" s="3" t="inlineStr">
        <is>
          <t>Restored on Catalog Master: freeze panes (C2), autofilter over A1:AT334, bold/wrapped header row,</t>
        </is>
      </c>
    </row>
    <row r="51">
      <c r="A51" s="3" t="inlineStr">
        <is>
          <t>column widths by field type, wrap-text on long-form text columns, data-validation dropdowns for</t>
        </is>
      </c>
    </row>
    <row r="52">
      <c r="A52" s="3" t="inlineStr">
        <is>
          <t>Collection Tier, Material Type, Primary/Secondary/Styling Chakra, Element, Zodiac, Encyclopedia</t>
        </is>
      </c>
    </row>
    <row r="53">
      <c r="A53" s="3" t="inlineStr">
        <is>
          <t>Energetic Role, Encyclopedia Production Status, Research/Canonical MD/Supabase/Visual QA/Structured</t>
        </is>
      </c>
    </row>
    <row r="54">
      <c r="A54" s="3" t="inlineStr">
        <is>
          <t>Data Status, Editorial Owner, Exception Type, Exception Review Required, and Navigation Verified.</t>
        </is>
      </c>
    </row>
    <row r="55">
      <c r="A55" s="3" t="inlineStr">
        <is>
          <t>No cell value in Catalog Master's 333 data rows was altered by this pass.</t>
        </is>
      </c>
    </row>
    <row r="57">
      <c r="A57" s="7" t="inlineStr">
        <is>
          <t>7. Christie-Approved Corrections Applied (second pass, 2026-07-03)</t>
        </is>
      </c>
    </row>
    <row r="58">
      <c r="A58" s="3" t="inlineStr">
        <is>
          <t>Authorized by Christie following Phase 3 reconstruction review. Exactly six Catalog Master field</t>
        </is>
      </c>
    </row>
    <row r="59">
      <c r="A59" s="3" t="inlineStr">
        <is>
          <t>values changed, all in column AJ (Exception / Identity Flag). No other cell in the workbook was</t>
        </is>
      </c>
    </row>
    <row r="60">
      <c r="A60" s="3" t="inlineStr">
        <is>
          <t>modified in this pass.</t>
        </is>
      </c>
    </row>
    <row r="61">
      <c r="A61" s="3" t="inlineStr">
        <is>
          <t>Row 317, C-0257, Meteorite: AJ changed from 'Specialist Review' to the approved controlled term</t>
        </is>
      </c>
    </row>
    <row r="62">
      <c r="A62" s="3" t="inlineStr">
        <is>
          <t>'Specialist nomenclature review'.</t>
        </is>
      </c>
    </row>
    <row r="63">
      <c r="A63" s="3" t="inlineStr">
        <is>
          <t>Row 168, C-0397, Phoenix Stone: AJ changed from blank to 'Composite'.</t>
        </is>
      </c>
    </row>
    <row r="64">
      <c r="A64" s="3" t="inlineStr">
        <is>
          <t>Row 196, C-0251, Cinnabrite: AJ changed from blank to 'Composite'.</t>
        </is>
      </c>
    </row>
    <row r="65">
      <c r="A65" s="3" t="inlineStr">
        <is>
          <t>Row 250, C-0189, Que Sera Stone: AJ changed from blank to 'Composite'.</t>
        </is>
      </c>
    </row>
    <row r="66">
      <c r="A66" s="3" t="inlineStr">
        <is>
          <t>Row 253, C-0199, Shaman Stone: AJ changed from blank to 'Composite'.</t>
        </is>
      </c>
    </row>
    <row r="67">
      <c r="A67" s="3" t="inlineStr">
        <is>
          <t>Row 298, C-0184, Boji Stones: AJ changed from blank to 'Composite'.</t>
        </is>
      </c>
    </row>
    <row r="68">
      <c r="A68" s="3" t="inlineStr">
        <is>
          <t>No existing Notes (column AT) explained these five as locked-pending-research prior to this pass;</t>
        </is>
      </c>
    </row>
    <row r="69">
      <c r="A69" s="3" t="inlineStr">
        <is>
          <t>all were blank, so none required preservation. Column AT was not modified for any of the six rows.</t>
        </is>
      </c>
    </row>
    <row r="70">
      <c r="A70" s="3" t="inlineStr">
        <is>
          <t>Exception Review Required (column AK) was left unchanged for all five per instruction to modify</t>
        </is>
      </c>
    </row>
    <row r="71">
      <c r="A71" s="3" t="inlineStr">
        <is>
          <t>only the Exception Type field.</t>
        </is>
      </c>
    </row>
    <row r="72">
      <c r="A72" s="3" t="inlineStr">
        <is>
          <t>Post-edit validation: 333 unique IDs/names/slugs; tier counts 30/132/123/48; navigation 0 broken</t>
        </is>
      </c>
    </row>
    <row r="73">
      <c r="A73" s="3" t="inlineStr">
        <is>
          <t>pointers, 0 self-references, single start (Adamite) and end (Zircon); 0 invalid Material Type or</t>
        </is>
      </c>
    </row>
    <row r="74">
      <c r="A74" s="3" t="inlineStr">
        <is>
          <t>Encyclopedia Energetic Role values; 0 invalid Exception/Identity Flag values against the approved</t>
        </is>
      </c>
    </row>
    <row r="75">
      <c r="A75" s="3" t="inlineStr">
        <is>
          <t>Controlled Vocabularies exception-type list; 0 #REF! or broken formulas across all five sheets.</t>
        </is>
      </c>
    </row>
  </sheetData>
  <mergeCells count="60">
    <mergeCell ref="A48:B48"/>
    <mergeCell ref="A24:B24"/>
    <mergeCell ref="A30:B30"/>
    <mergeCell ref="A64:B64"/>
    <mergeCell ref="A59:B59"/>
    <mergeCell ref="A60:B60"/>
    <mergeCell ref="A73:B73"/>
    <mergeCell ref="A49:B49"/>
    <mergeCell ref="A11:B11"/>
    <mergeCell ref="A51:B51"/>
    <mergeCell ref="A45:B45"/>
    <mergeCell ref="A36:B36"/>
    <mergeCell ref="A70:B70"/>
    <mergeCell ref="A61:B61"/>
    <mergeCell ref="A6:B6"/>
    <mergeCell ref="A69:B69"/>
    <mergeCell ref="A16:B16"/>
    <mergeCell ref="A54:B54"/>
    <mergeCell ref="A7:B7"/>
    <mergeCell ref="A25:B25"/>
    <mergeCell ref="A65:B65"/>
    <mergeCell ref="A41:B41"/>
    <mergeCell ref="A37:B37"/>
    <mergeCell ref="A75:B75"/>
    <mergeCell ref="A66:B66"/>
    <mergeCell ref="A74:B74"/>
    <mergeCell ref="A18:B18"/>
    <mergeCell ref="A27:B27"/>
    <mergeCell ref="A3:B3"/>
    <mergeCell ref="A55:B55"/>
    <mergeCell ref="A12:B12"/>
    <mergeCell ref="A50:B50"/>
    <mergeCell ref="A26:B26"/>
    <mergeCell ref="A2:B2"/>
    <mergeCell ref="A33:B33"/>
    <mergeCell ref="A71:B71"/>
    <mergeCell ref="A42:B42"/>
    <mergeCell ref="A23:B23"/>
    <mergeCell ref="A17:B17"/>
    <mergeCell ref="A8:B8"/>
    <mergeCell ref="A53:B53"/>
    <mergeCell ref="A35:B35"/>
    <mergeCell ref="A62:B62"/>
    <mergeCell ref="A20:B20"/>
    <mergeCell ref="A38:B38"/>
    <mergeCell ref="A72:B72"/>
    <mergeCell ref="A29:B29"/>
    <mergeCell ref="A52:B52"/>
    <mergeCell ref="A43:B43"/>
    <mergeCell ref="A19:B19"/>
    <mergeCell ref="A63:B63"/>
    <mergeCell ref="A68:B68"/>
    <mergeCell ref="A10:B10"/>
    <mergeCell ref="A28:B28"/>
    <mergeCell ref="A13:B13"/>
    <mergeCell ref="A44:B44"/>
    <mergeCell ref="A9:B9"/>
    <mergeCell ref="A67:B67"/>
    <mergeCell ref="A58:B58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2026-06-29T17:10:59Z</dcterms:created>
  <dcterms:modified xmlns:dcterms="http://purl.org/dc/terms/" xmlns:xsi="http://www.w3.org/2001/XMLSchema-instance" xsi:type="dcterms:W3CDTF">2026-07-03T07:32:08Z</dcterms:modified>
</cp:coreProperties>
</file>